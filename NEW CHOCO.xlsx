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mc:AlternateContent xmlns:mc="http://schemas.openxmlformats.org/markup-compatibility/2006">
    <mc:Choice Requires="x15">
      <x15ac:absPath xmlns:x15ac="http://schemas.microsoft.com/office/spreadsheetml/2010/11/ac" url="C:\Users\AE TECH\Documents\"/>
    </mc:Choice>
  </mc:AlternateContent>
  <xr:revisionPtr revIDLastSave="0" documentId="13_ncr:1_{BA5249EE-5905-46C1-930F-F9F127C3B943}" xr6:coauthVersionLast="47" xr6:coauthVersionMax="47" xr10:uidLastSave="{00000000-0000-0000-0000-000000000000}"/>
  <bookViews>
    <workbookView minimized="1" xWindow="5460" yWindow="3360" windowWidth="15375" windowHeight="7785" xr2:uid="{00000000-000D-0000-FFFF-FFFF00000000}"/>
  </bookViews>
  <sheets>
    <sheet name="Data Set" sheetId="1" r:id="rId1"/>
    <sheet name="Pivot Tables" sheetId="2" r:id="rId2"/>
    <sheet name="Pivot Table 2" sheetId="4" r:id="rId3"/>
    <sheet name="Dashboard" sheetId="3" r:id="rId4"/>
  </sheets>
  <definedNames>
    <definedName name="_xlnm._FilterDatabase" localSheetId="0" hidden="1">'Data Set'!$A$1:$I$301</definedName>
    <definedName name="Amount">'Data Set'!$D:$D</definedName>
    <definedName name="Cost">'Data Set'!$G:$G</definedName>
    <definedName name="cost_per_unit">'Data Set'!$F:$F</definedName>
    <definedName name="_xlnm.Criteria" localSheetId="0">'Data Set'!$Y$1:$AG$2</definedName>
    <definedName name="_xlnm.Extract" localSheetId="0">'Data Set'!$Y$4:$AG$19</definedName>
    <definedName name="Geography">'Data Set'!$B:$B</definedName>
    <definedName name="Percentage">'Data Set'!$I:$I</definedName>
    <definedName name="Product">'Data Set'!$C:$C</definedName>
    <definedName name="Profit">'Data Set'!$H:$H</definedName>
    <definedName name="Sales_Person">'Data Set'!$A:$A</definedName>
    <definedName name="Slicer_Geography">#N/A</definedName>
    <definedName name="Slicer_Product">#N/A</definedName>
    <definedName name="Slicer_Sales_Person">#N/A</definedName>
    <definedName name="Units">'Data Set'!$E:$E</definedName>
  </definedNames>
  <calcPr calcId="191029"/>
  <pivotCaches>
    <pivotCache cacheId="0" r:id="rId5"/>
    <pivotCache cacheId="1" r:id="rId6"/>
    <pivotCache cacheId="2"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2" i="2" l="1"/>
  <c r="G3" i="4"/>
  <c r="F3" i="4"/>
  <c r="L3" i="4"/>
  <c r="K3" i="4"/>
  <c r="J3" i="4"/>
  <c r="I3" i="4"/>
  <c r="H3" i="4"/>
  <c r="I301" i="1"/>
  <c r="I300" i="1"/>
  <c r="I299" i="1"/>
  <c r="I298" i="1"/>
  <c r="I297" i="1"/>
  <c r="I296" i="1"/>
  <c r="I295" i="1"/>
  <c r="I294" i="1"/>
  <c r="I293" i="1"/>
  <c r="I292" i="1"/>
  <c r="I291" i="1"/>
  <c r="I290" i="1"/>
  <c r="I289" i="1"/>
  <c r="I288" i="1"/>
  <c r="I287" i="1"/>
  <c r="I286" i="1"/>
  <c r="I285" i="1"/>
  <c r="I284" i="1"/>
  <c r="I283" i="1"/>
  <c r="I282" i="1"/>
  <c r="I281" i="1"/>
  <c r="I280" i="1"/>
  <c r="I279" i="1"/>
  <c r="I278" i="1"/>
  <c r="I277" i="1"/>
  <c r="I276" i="1"/>
  <c r="I275" i="1"/>
  <c r="I274" i="1"/>
  <c r="I273" i="1"/>
  <c r="I272" i="1"/>
  <c r="I271" i="1"/>
  <c r="I270" i="1"/>
  <c r="I269" i="1"/>
  <c r="I268" i="1"/>
  <c r="I267" i="1"/>
  <c r="I266" i="1"/>
  <c r="I265" i="1"/>
  <c r="I264" i="1"/>
  <c r="I263" i="1"/>
  <c r="I262" i="1"/>
  <c r="I261" i="1"/>
  <c r="I260" i="1"/>
  <c r="I259" i="1"/>
  <c r="I258" i="1"/>
  <c r="I257" i="1"/>
  <c r="I256" i="1"/>
  <c r="I255" i="1"/>
  <c r="I254" i="1"/>
  <c r="I253" i="1"/>
  <c r="I252" i="1"/>
  <c r="I251" i="1"/>
  <c r="I250" i="1"/>
  <c r="I249" i="1"/>
  <c r="I248" i="1"/>
  <c r="I247" i="1"/>
  <c r="I246" i="1"/>
  <c r="I245" i="1"/>
  <c r="I244" i="1"/>
  <c r="I243" i="1"/>
  <c r="I242" i="1"/>
  <c r="I241" i="1"/>
  <c r="I240" i="1"/>
  <c r="I239" i="1"/>
  <c r="I238" i="1"/>
  <c r="I237" i="1"/>
  <c r="I236" i="1"/>
  <c r="I235" i="1"/>
  <c r="I234" i="1"/>
  <c r="I233" i="1"/>
  <c r="I232" i="1"/>
  <c r="I231" i="1"/>
  <c r="I230" i="1"/>
  <c r="I229" i="1"/>
  <c r="I228" i="1"/>
  <c r="I227" i="1"/>
  <c r="I226" i="1"/>
  <c r="I225" i="1"/>
  <c r="I224" i="1"/>
  <c r="I223" i="1"/>
  <c r="I222" i="1"/>
  <c r="I221" i="1"/>
  <c r="I220" i="1"/>
  <c r="I219" i="1"/>
  <c r="I218" i="1"/>
  <c r="I217" i="1"/>
  <c r="I216" i="1"/>
  <c r="I215" i="1"/>
  <c r="I214" i="1"/>
  <c r="I213" i="1"/>
  <c r="I212" i="1"/>
  <c r="I211" i="1"/>
  <c r="I210" i="1"/>
  <c r="I209" i="1"/>
  <c r="I208" i="1"/>
  <c r="I207" i="1"/>
  <c r="I206" i="1"/>
  <c r="I205" i="1"/>
  <c r="I204" i="1"/>
  <c r="I203" i="1"/>
  <c r="I202" i="1"/>
  <c r="I201" i="1"/>
  <c r="I200" i="1"/>
  <c r="I199" i="1"/>
  <c r="I198" i="1"/>
  <c r="I197" i="1"/>
  <c r="I196" i="1"/>
  <c r="I195" i="1"/>
  <c r="I194" i="1"/>
  <c r="I193" i="1"/>
  <c r="I192" i="1"/>
  <c r="I191" i="1"/>
  <c r="I190" i="1"/>
  <c r="I189" i="1"/>
  <c r="I188" i="1"/>
  <c r="I187" i="1"/>
  <c r="I186" i="1"/>
  <c r="I185" i="1"/>
  <c r="I184" i="1"/>
  <c r="I183" i="1"/>
  <c r="I182" i="1"/>
  <c r="I181" i="1"/>
  <c r="I180" i="1"/>
  <c r="I179" i="1"/>
  <c r="I178" i="1"/>
  <c r="I177" i="1"/>
  <c r="I176" i="1"/>
  <c r="I175" i="1"/>
  <c r="I174" i="1"/>
  <c r="I173" i="1"/>
  <c r="I172" i="1"/>
  <c r="I171" i="1"/>
  <c r="I170" i="1"/>
  <c r="I169" i="1"/>
  <c r="I168" i="1"/>
  <c r="I167" i="1"/>
  <c r="I166" i="1"/>
  <c r="I165" i="1"/>
  <c r="I164" i="1"/>
  <c r="I163" i="1"/>
  <c r="I162" i="1"/>
  <c r="I161" i="1"/>
  <c r="I160" i="1"/>
  <c r="I159" i="1"/>
  <c r="I158" i="1"/>
  <c r="I157" i="1"/>
  <c r="I156" i="1"/>
  <c r="I155" i="1"/>
  <c r="I154" i="1"/>
  <c r="I153" i="1"/>
  <c r="I152" i="1"/>
  <c r="I151" i="1"/>
  <c r="I150" i="1"/>
  <c r="I149" i="1"/>
  <c r="I148" i="1"/>
  <c r="I147" i="1"/>
  <c r="I146" i="1"/>
  <c r="I145" i="1"/>
  <c r="I144" i="1"/>
  <c r="I143" i="1"/>
  <c r="I142" i="1"/>
  <c r="I141" i="1"/>
  <c r="I140" i="1"/>
  <c r="I139" i="1"/>
  <c r="I138" i="1"/>
  <c r="I137" i="1"/>
  <c r="I136" i="1"/>
  <c r="I135" i="1"/>
  <c r="I134" i="1"/>
  <c r="I133" i="1"/>
  <c r="I132" i="1"/>
  <c r="I131" i="1"/>
  <c r="I130" i="1"/>
  <c r="I129" i="1"/>
  <c r="I128" i="1"/>
  <c r="I127" i="1"/>
  <c r="I126" i="1"/>
  <c r="I125" i="1"/>
  <c r="I124" i="1"/>
  <c r="I123" i="1"/>
  <c r="I122" i="1"/>
  <c r="I121" i="1"/>
  <c r="I120" i="1"/>
  <c r="I119" i="1"/>
  <c r="I118" i="1"/>
  <c r="I117" i="1"/>
  <c r="I116" i="1"/>
  <c r="I115" i="1"/>
  <c r="I114" i="1"/>
  <c r="I113" i="1"/>
  <c r="I112" i="1"/>
  <c r="I111" i="1"/>
  <c r="I110" i="1"/>
  <c r="I109" i="1"/>
  <c r="I108" i="1"/>
  <c r="I107" i="1"/>
  <c r="I106" i="1"/>
  <c r="I105" i="1"/>
  <c r="I104" i="1"/>
  <c r="I103" i="1"/>
  <c r="I102" i="1"/>
  <c r="I101" i="1"/>
  <c r="I100" i="1"/>
  <c r="I99" i="1"/>
  <c r="I98" i="1"/>
  <c r="I97" i="1"/>
  <c r="I96" i="1"/>
  <c r="I95" i="1"/>
  <c r="I94" i="1"/>
  <c r="I93" i="1"/>
  <c r="I92" i="1"/>
  <c r="I91" i="1"/>
  <c r="I90" i="1"/>
  <c r="I89" i="1"/>
  <c r="I88" i="1"/>
  <c r="I87" i="1"/>
  <c r="I86" i="1"/>
  <c r="I85" i="1"/>
  <c r="I84" i="1"/>
  <c r="I83" i="1"/>
  <c r="I82" i="1"/>
  <c r="I81" i="1"/>
  <c r="I80" i="1"/>
  <c r="I79" i="1"/>
  <c r="I78" i="1"/>
  <c r="I77" i="1"/>
  <c r="I76" i="1"/>
  <c r="I75" i="1"/>
  <c r="I74" i="1"/>
  <c r="I73" i="1"/>
  <c r="I72" i="1"/>
  <c r="I71" i="1"/>
  <c r="I70" i="1"/>
  <c r="I69" i="1"/>
  <c r="I68" i="1"/>
  <c r="I67" i="1"/>
  <c r="I66" i="1"/>
  <c r="I65" i="1"/>
  <c r="I64" i="1"/>
  <c r="I63" i="1"/>
  <c r="I62" i="1"/>
  <c r="I61" i="1"/>
  <c r="I60" i="1"/>
  <c r="I59" i="1"/>
  <c r="I58" i="1"/>
  <c r="I57" i="1"/>
  <c r="I56" i="1"/>
  <c r="I55" i="1"/>
  <c r="I54" i="1"/>
  <c r="I53" i="1"/>
  <c r="I52" i="1"/>
  <c r="I51" i="1"/>
  <c r="I50" i="1"/>
  <c r="I49" i="1"/>
  <c r="I48" i="1"/>
  <c r="I47" i="1"/>
  <c r="I46" i="1"/>
  <c r="I45" i="1"/>
  <c r="I44" i="1"/>
  <c r="I43" i="1"/>
  <c r="I42" i="1"/>
  <c r="I41" i="1"/>
  <c r="I40" i="1"/>
  <c r="I39" i="1"/>
  <c r="I38" i="1"/>
  <c r="I37" i="1"/>
  <c r="I36" i="1"/>
  <c r="I35" i="1"/>
  <c r="I34" i="1"/>
  <c r="I33" i="1"/>
  <c r="I32" i="1"/>
  <c r="I31" i="1"/>
  <c r="I30" i="1"/>
  <c r="I29" i="1"/>
  <c r="I28" i="1"/>
  <c r="I27" i="1"/>
  <c r="I26" i="1"/>
  <c r="I25" i="1"/>
  <c r="I24" i="1"/>
  <c r="I23" i="1"/>
  <c r="I22" i="1"/>
  <c r="I21" i="1"/>
  <c r="I20" i="1"/>
  <c r="I19" i="1"/>
  <c r="I18" i="1"/>
  <c r="I17" i="1"/>
  <c r="I16" i="1"/>
  <c r="I15" i="1"/>
  <c r="I14" i="1"/>
  <c r="I13" i="1"/>
  <c r="I12" i="1"/>
  <c r="I11" i="1"/>
  <c r="I10" i="1"/>
  <c r="I9" i="1"/>
  <c r="I8" i="1"/>
  <c r="I7" i="1"/>
  <c r="I6" i="1"/>
  <c r="I5" i="1"/>
  <c r="I4" i="1"/>
  <c r="I3" i="1"/>
  <c r="I2" i="1"/>
  <c r="AA17" i="2"/>
  <c r="C30" i="2"/>
  <c r="Q18" i="2"/>
</calcChain>
</file>

<file path=xl/sharedStrings.xml><?xml version="1.0" encoding="utf-8"?>
<sst xmlns="http://schemas.openxmlformats.org/spreadsheetml/2006/main" count="2052" uniqueCount="72">
  <si>
    <t>Sales Person</t>
  </si>
  <si>
    <t>Geography</t>
  </si>
  <si>
    <t>Product</t>
  </si>
  <si>
    <t>Amount</t>
  </si>
  <si>
    <t>Units</t>
  </si>
  <si>
    <t>cost per unit</t>
  </si>
  <si>
    <t>Cost</t>
  </si>
  <si>
    <t>Profit</t>
  </si>
  <si>
    <t>profit %</t>
  </si>
  <si>
    <t>Ram Mahesh</t>
  </si>
  <si>
    <t>New Zealand</t>
  </si>
  <si>
    <t>70% Dark Bites</t>
  </si>
  <si>
    <t>Brien Boise</t>
  </si>
  <si>
    <t>USA</t>
  </si>
  <si>
    <t>Choco Coated Almonds</t>
  </si>
  <si>
    <t>Husein Augar</t>
  </si>
  <si>
    <t>Almond Choco</t>
  </si>
  <si>
    <t>Carla Molina</t>
  </si>
  <si>
    <t>Canada</t>
  </si>
  <si>
    <t>Drinking Coco</t>
  </si>
  <si>
    <t>Curtice Advani</t>
  </si>
  <si>
    <t>UK</t>
  </si>
  <si>
    <t>White Choc</t>
  </si>
  <si>
    <t>Peanut Butter Cubes</t>
  </si>
  <si>
    <t>Australia</t>
  </si>
  <si>
    <t>Smooth Sliky Salty</t>
  </si>
  <si>
    <t>After Nines</t>
  </si>
  <si>
    <t>Ches Bonnell</t>
  </si>
  <si>
    <t>50% Dark Bites</t>
  </si>
  <si>
    <t>Gigi Bohling</t>
  </si>
  <si>
    <t>Barr Faughny</t>
  </si>
  <si>
    <t>Gunar Cockshoot</t>
  </si>
  <si>
    <t>Eclairs</t>
  </si>
  <si>
    <t>Mint Chip Choco</t>
  </si>
  <si>
    <t>India</t>
  </si>
  <si>
    <t>Milk Bars</t>
  </si>
  <si>
    <t>Manuka Honey Choco</t>
  </si>
  <si>
    <t>Orange Choco</t>
  </si>
  <si>
    <t>Fruit &amp; Nut Bars</t>
  </si>
  <si>
    <t>Oby Sorrel</t>
  </si>
  <si>
    <t>99% Dark &amp; Pure</t>
  </si>
  <si>
    <t>Raspberry Choco</t>
  </si>
  <si>
    <t>85% Dark Bars</t>
  </si>
  <si>
    <t>Organic Choco Syrup</t>
  </si>
  <si>
    <t>Caramel Stuffed Bars</t>
  </si>
  <si>
    <t>Spicy Special Slims</t>
  </si>
  <si>
    <t>Baker's Choco Chips</t>
  </si>
  <si>
    <t>&gt;1</t>
  </si>
  <si>
    <t>&lt;1</t>
  </si>
  <si>
    <t>Loss</t>
  </si>
  <si>
    <t>Loss%</t>
  </si>
  <si>
    <t>Row Labels</t>
  </si>
  <si>
    <t>Sum of Profit</t>
  </si>
  <si>
    <t>Grand Total</t>
  </si>
  <si>
    <t>Sum of Amount</t>
  </si>
  <si>
    <t>Column Labels</t>
  </si>
  <si>
    <t>Sum of Units</t>
  </si>
  <si>
    <t>Sum of Cost</t>
  </si>
  <si>
    <t>2.) Sales Performance By Country</t>
  </si>
  <si>
    <t>1.) Sales Performance By Product</t>
  </si>
  <si>
    <t>Sum of Loss</t>
  </si>
  <si>
    <t>4.) Total Loss by Product And Geography</t>
  </si>
  <si>
    <t>5.) Top 3 Selling By Country</t>
  </si>
  <si>
    <t>6.) Least Sales Performance By Product</t>
  </si>
  <si>
    <t>8.) Total Cost Price</t>
  </si>
  <si>
    <t>Sum of profit %</t>
  </si>
  <si>
    <t>10.) Total Percentage Profit by Product And Geography</t>
  </si>
  <si>
    <t>7.) Total Unit Price by Product</t>
  </si>
  <si>
    <t>12.) Quqntity Of Goods sold by salesperson</t>
  </si>
  <si>
    <t>Loss %</t>
  </si>
  <si>
    <t>9.) Total Sales by Salesperson</t>
  </si>
  <si>
    <t>3.) Top 5 Profit by Product And Geography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</si>
</sst>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44" formatCode="_(&quot;$&quot;* #,##0.00_);_(&quot;$&quot;* \(#,##0.00\);_(&quot;$&quot;* &quot;-&quot;??_);_(@_)"/>
    <numFmt numFmtId="164" formatCode="_(&quot;$&quot;* #,##0_);_(&quot;$&quot;* \(#,##0\);_(&quot;$&quot;* &quot;-&quot;??_);_(@_)"/>
    <numFmt numFmtId="165" formatCode="#,##0&quot;K&quot;"/>
  </numFmts>
  <fonts count="4"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s>
  <fills count="5">
    <fill>
      <patternFill patternType="none"/>
    </fill>
    <fill>
      <patternFill patternType="gray125"/>
    </fill>
    <fill>
      <patternFill patternType="solid">
        <fgColor theme="7"/>
        <bgColor theme="7"/>
      </patternFill>
    </fill>
    <fill>
      <patternFill patternType="solid">
        <fgColor theme="4" tint="0.79998168889431442"/>
        <bgColor theme="4" tint="0.79998168889431442"/>
      </patternFill>
    </fill>
    <fill>
      <patternFill patternType="solid">
        <fgColor theme="5" tint="0.39997558519241921"/>
        <bgColor indexed="64"/>
      </patternFill>
    </fill>
  </fills>
  <borders count="7">
    <border>
      <left/>
      <right/>
      <top/>
      <bottom/>
      <diagonal/>
    </border>
    <border>
      <left/>
      <right/>
      <top style="thin">
        <color theme="7"/>
      </top>
      <bottom/>
      <diagonal/>
    </border>
    <border>
      <left/>
      <right style="thin">
        <color theme="7"/>
      </right>
      <top style="thin">
        <color theme="7"/>
      </top>
      <bottom/>
      <diagonal/>
    </border>
    <border>
      <left style="thin">
        <color theme="7"/>
      </left>
      <right/>
      <top style="thin">
        <color theme="7"/>
      </top>
      <bottom/>
      <diagonal/>
    </border>
    <border>
      <left/>
      <right/>
      <top style="thin">
        <color theme="4" tint="0.39997558519241921"/>
      </top>
      <bottom/>
      <diagonal/>
    </border>
    <border>
      <left style="thin">
        <color theme="7"/>
      </left>
      <right/>
      <top/>
      <bottom/>
      <diagonal/>
    </border>
    <border>
      <left/>
      <right style="thin">
        <color theme="7"/>
      </right>
      <top/>
      <bottom/>
      <diagonal/>
    </border>
  </borders>
  <cellStyleXfs count="2">
    <xf numFmtId="0" fontId="0" fillId="0" borderId="0"/>
    <xf numFmtId="44" fontId="1" fillId="0" borderId="0" applyFont="0" applyFill="0" applyBorder="0" applyAlignment="0" applyProtection="0"/>
  </cellStyleXfs>
  <cellXfs count="27">
    <xf numFmtId="0" fontId="0" fillId="0" borderId="0" xfId="0"/>
    <xf numFmtId="6" fontId="0" fillId="0" borderId="0" xfId="0" applyNumberFormat="1"/>
    <xf numFmtId="3" fontId="0" fillId="0" borderId="0" xfId="0" applyNumberFormat="1"/>
    <xf numFmtId="9" fontId="0" fillId="0" borderId="0" xfId="0" applyNumberFormat="1"/>
    <xf numFmtId="0" fontId="2" fillId="2" borderId="1" xfId="0" applyFont="1" applyFill="1" applyBorder="1"/>
    <xf numFmtId="0" fontId="2" fillId="2" borderId="2" xfId="0" applyFont="1" applyFill="1" applyBorder="1"/>
    <xf numFmtId="3" fontId="0" fillId="0" borderId="1" xfId="0" applyNumberFormat="1" applyFont="1" applyBorder="1"/>
    <xf numFmtId="6" fontId="0" fillId="0" borderId="1" xfId="0" applyNumberFormat="1" applyFont="1" applyBorder="1"/>
    <xf numFmtId="9" fontId="0" fillId="0" borderId="2" xfId="0" applyNumberFormat="1" applyFont="1" applyBorder="1"/>
    <xf numFmtId="0" fontId="0" fillId="0" borderId="1" xfId="0" applyFont="1" applyBorder="1"/>
    <xf numFmtId="0" fontId="2" fillId="2" borderId="3" xfId="0" applyFont="1" applyFill="1" applyBorder="1"/>
    <xf numFmtId="0" fontId="0" fillId="0" borderId="3" xfId="0" applyFont="1" applyBorder="1"/>
    <xf numFmtId="0" fontId="0" fillId="0" borderId="0" xfId="0" pivotButton="1"/>
    <xf numFmtId="0" fontId="0" fillId="0" borderId="0" xfId="0" applyAlignment="1">
      <alignment horizontal="left"/>
    </xf>
    <xf numFmtId="0" fontId="0" fillId="0" borderId="0" xfId="0" applyNumberFormat="1"/>
    <xf numFmtId="0" fontId="3" fillId="3" borderId="4" xfId="0" applyNumberFormat="1" applyFont="1" applyFill="1" applyBorder="1"/>
    <xf numFmtId="2" fontId="0" fillId="0" borderId="0" xfId="0" applyNumberFormat="1"/>
    <xf numFmtId="1" fontId="0" fillId="0" borderId="0" xfId="0" applyNumberFormat="1"/>
    <xf numFmtId="0" fontId="0" fillId="0" borderId="0" xfId="0" applyFont="1" applyBorder="1"/>
    <xf numFmtId="0" fontId="2" fillId="2" borderId="5" xfId="0" applyFont="1" applyFill="1" applyBorder="1"/>
    <xf numFmtId="0" fontId="2" fillId="2" borderId="0" xfId="0" applyFont="1" applyFill="1" applyBorder="1"/>
    <xf numFmtId="0" fontId="2" fillId="2" borderId="6" xfId="0" applyFont="1" applyFill="1" applyBorder="1"/>
    <xf numFmtId="0" fontId="0" fillId="4" borderId="0" xfId="0" applyFill="1"/>
    <xf numFmtId="0" fontId="3" fillId="0" borderId="0" xfId="0" applyFont="1"/>
    <xf numFmtId="164" fontId="0" fillId="0" borderId="0" xfId="1" applyNumberFormat="1" applyFont="1"/>
    <xf numFmtId="165" fontId="0" fillId="0" borderId="0" xfId="0" applyNumberFormat="1"/>
    <xf numFmtId="0" fontId="3" fillId="0" borderId="0" xfId="0" applyFont="1"/>
  </cellXfs>
  <cellStyles count="2">
    <cellStyle name="Currency" xfId="1" builtinId="4"/>
    <cellStyle name="Normal" xfId="0" builtinId="0"/>
  </cellStyles>
  <dxfs count="11">
    <dxf>
      <numFmt numFmtId="2" formatCode="0.00"/>
    </dxf>
    <dxf>
      <numFmt numFmtId="13" formatCode="0%"/>
    </dxf>
    <dxf>
      <numFmt numFmtId="10" formatCode="&quot;$&quot;#,##0_);[Red]\(&quot;$&quot;#,##0\)"/>
    </dxf>
    <dxf>
      <numFmt numFmtId="3" formatCode="#,##0"/>
    </dxf>
    <dxf>
      <numFmt numFmtId="10" formatCode="&quot;$&quot;#,##0_);[Red]\(&quot;$&quot;#,##0\)"/>
    </dxf>
    <dxf>
      <border outline="0">
        <top style="thin">
          <color theme="7"/>
        </top>
      </border>
    </dxf>
    <dxf>
      <font>
        <b/>
        <i val="0"/>
        <strike val="0"/>
        <condense val="0"/>
        <extend val="0"/>
        <outline val="0"/>
        <shadow val="0"/>
        <u val="none"/>
        <vertAlign val="baseline"/>
        <sz val="11"/>
        <color theme="0"/>
        <name val="Calibri"/>
        <scheme val="minor"/>
      </font>
      <fill>
        <patternFill patternType="solid">
          <fgColor theme="7"/>
          <bgColor theme="7"/>
        </patternFill>
      </fill>
    </dxf>
    <dxf>
      <numFmt numFmtId="13" formatCode="0%"/>
    </dxf>
    <dxf>
      <numFmt numFmtId="10" formatCode="&quot;$&quot;#,##0_);[Red]\(&quot;$&quot;#,##0\)"/>
    </dxf>
    <dxf>
      <numFmt numFmtId="3" formatCode="#,##0"/>
    </dxf>
    <dxf>
      <numFmt numFmtId="10" formatCode="&quot;$&quot;#,##0_);[Red]\(&quot;$&quot;#,##0\)"/>
    </dxf>
  </dxfs>
  <tableStyles count="0" defaultTableStyle="TableStyleMedium2" defaultPivotStyle="PivotStyleLight16"/>
  <colors>
    <mruColors>
      <color rgb="FFFFFFCC"/>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CHOCO.xlsx]Pivot Tables!PivotTable2</c:name>
    <c:fmtId val="3"/>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Total Sales Performance</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Tables'!$C$3</c:f>
              <c:strCache>
                <c:ptCount val="1"/>
                <c:pt idx="0">
                  <c:v>Total</c:v>
                </c:pt>
              </c:strCache>
            </c:strRef>
          </c:tx>
          <c:spPr>
            <a:solidFill>
              <a:schemeClr val="accent2">
                <a:lumMod val="75000"/>
              </a:schemeClr>
            </a:solidFill>
            <a:ln>
              <a:noFill/>
            </a:ln>
            <a:effectLst/>
          </c:spPr>
          <c:invertIfNegative val="0"/>
          <c:cat>
            <c:strRef>
              <c:f>'Pivot Tables'!$B$4:$B$14</c:f>
              <c:strCache>
                <c:ptCount val="10"/>
                <c:pt idx="0">
                  <c:v>70% Dark Bites</c:v>
                </c:pt>
                <c:pt idx="1">
                  <c:v>After Nines</c:v>
                </c:pt>
                <c:pt idx="2">
                  <c:v>Baker's Choco Chips</c:v>
                </c:pt>
                <c:pt idx="3">
                  <c:v>Caramel Stuffed Bars</c:v>
                </c:pt>
                <c:pt idx="4">
                  <c:v>Choco Coated Almonds</c:v>
                </c:pt>
                <c:pt idx="5">
                  <c:v>Eclairs</c:v>
                </c:pt>
                <c:pt idx="6">
                  <c:v>Mint Chip Choco</c:v>
                </c:pt>
                <c:pt idx="7">
                  <c:v>Organic Choco Syrup</c:v>
                </c:pt>
                <c:pt idx="8">
                  <c:v>Peanut Butter Cubes</c:v>
                </c:pt>
                <c:pt idx="9">
                  <c:v>Raspberry Choco</c:v>
                </c:pt>
              </c:strCache>
            </c:strRef>
          </c:cat>
          <c:val>
            <c:numRef>
              <c:f>'Pivot Tables'!$C$4:$C$14</c:f>
              <c:numCache>
                <c:formatCode>General</c:formatCode>
                <c:ptCount val="10"/>
                <c:pt idx="0">
                  <c:v>66500</c:v>
                </c:pt>
                <c:pt idx="1">
                  <c:v>66283</c:v>
                </c:pt>
                <c:pt idx="2">
                  <c:v>70273</c:v>
                </c:pt>
                <c:pt idx="3">
                  <c:v>72373</c:v>
                </c:pt>
                <c:pt idx="4">
                  <c:v>71967</c:v>
                </c:pt>
                <c:pt idx="5">
                  <c:v>63721</c:v>
                </c:pt>
                <c:pt idx="6">
                  <c:v>62111</c:v>
                </c:pt>
                <c:pt idx="7">
                  <c:v>69461</c:v>
                </c:pt>
                <c:pt idx="8">
                  <c:v>69160</c:v>
                </c:pt>
                <c:pt idx="9">
                  <c:v>68971</c:v>
                </c:pt>
              </c:numCache>
            </c:numRef>
          </c:val>
          <c:extLst>
            <c:ext xmlns:c16="http://schemas.microsoft.com/office/drawing/2014/chart" uri="{C3380CC4-5D6E-409C-BE32-E72D297353CC}">
              <c16:uniqueId val="{00000000-C31E-4BB5-B6B8-CF56A85171A9}"/>
            </c:ext>
          </c:extLst>
        </c:ser>
        <c:dLbls>
          <c:showLegendKey val="0"/>
          <c:showVal val="0"/>
          <c:showCatName val="0"/>
          <c:showSerName val="0"/>
          <c:showPercent val="0"/>
          <c:showBubbleSize val="0"/>
        </c:dLbls>
        <c:gapWidth val="219"/>
        <c:overlap val="-27"/>
        <c:axId val="227096568"/>
        <c:axId val="227092648"/>
      </c:barChart>
      <c:catAx>
        <c:axId val="227096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7092648"/>
        <c:crosses val="autoZero"/>
        <c:auto val="1"/>
        <c:lblAlgn val="ctr"/>
        <c:lblOffset val="100"/>
        <c:noMultiLvlLbl val="0"/>
      </c:catAx>
      <c:valAx>
        <c:axId val="227092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7096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CHOCO.xlsx]Pivot Tables!PivotTable3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Perfromance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ln w="28575" cap="rnd">
            <a:solidFill>
              <a:schemeClr val="accent2"/>
            </a:solidFill>
            <a:round/>
          </a:ln>
          <a:effectLst/>
        </c:spPr>
        <c:marker>
          <c:symbol val="circle"/>
          <c:size val="5"/>
          <c:spPr>
            <a:solidFill>
              <a:schemeClr val="accent1"/>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Tables'!$G$3</c:f>
              <c:strCache>
                <c:ptCount val="1"/>
                <c:pt idx="0">
                  <c:v>Total</c:v>
                </c:pt>
              </c:strCache>
            </c:strRef>
          </c:tx>
          <c:spPr>
            <a:ln w="28575" cap="rnd">
              <a:solidFill>
                <a:schemeClr val="accent2"/>
              </a:solidFill>
              <a:round/>
            </a:ln>
            <a:effectLst/>
          </c:spPr>
          <c:marker>
            <c:symbol val="circle"/>
            <c:size val="5"/>
            <c:spPr>
              <a:solidFill>
                <a:schemeClr val="accent1"/>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Tables'!$F$4:$F$10</c:f>
              <c:strCache>
                <c:ptCount val="6"/>
                <c:pt idx="0">
                  <c:v>Australia</c:v>
                </c:pt>
                <c:pt idx="1">
                  <c:v>Canada</c:v>
                </c:pt>
                <c:pt idx="2">
                  <c:v>India</c:v>
                </c:pt>
                <c:pt idx="3">
                  <c:v>New Zealand</c:v>
                </c:pt>
                <c:pt idx="4">
                  <c:v>UK</c:v>
                </c:pt>
                <c:pt idx="5">
                  <c:v>USA</c:v>
                </c:pt>
              </c:strCache>
            </c:strRef>
          </c:cat>
          <c:val>
            <c:numRef>
              <c:f>'Pivot Tables'!$G$4:$G$10</c:f>
              <c:numCache>
                <c:formatCode>General</c:formatCode>
                <c:ptCount val="6"/>
                <c:pt idx="0">
                  <c:v>168679</c:v>
                </c:pt>
                <c:pt idx="1">
                  <c:v>237944</c:v>
                </c:pt>
                <c:pt idx="2">
                  <c:v>252469</c:v>
                </c:pt>
                <c:pt idx="3">
                  <c:v>218813</c:v>
                </c:pt>
                <c:pt idx="4">
                  <c:v>173530</c:v>
                </c:pt>
                <c:pt idx="5">
                  <c:v>189434</c:v>
                </c:pt>
              </c:numCache>
            </c:numRef>
          </c:val>
          <c:smooth val="0"/>
          <c:extLst>
            <c:ext xmlns:c16="http://schemas.microsoft.com/office/drawing/2014/chart" uri="{C3380CC4-5D6E-409C-BE32-E72D297353CC}">
              <c16:uniqueId val="{00000000-464C-4226-A79E-8ADF5A52DE52}"/>
            </c:ext>
          </c:extLst>
        </c:ser>
        <c:dLbls>
          <c:dLblPos val="t"/>
          <c:showLegendKey val="0"/>
          <c:showVal val="1"/>
          <c:showCatName val="0"/>
          <c:showSerName val="0"/>
          <c:showPercent val="0"/>
          <c:showBubbleSize val="0"/>
        </c:dLbls>
        <c:marker val="1"/>
        <c:smooth val="0"/>
        <c:axId val="227089512"/>
        <c:axId val="227090688"/>
      </c:lineChart>
      <c:catAx>
        <c:axId val="227089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7090688"/>
        <c:crosses val="autoZero"/>
        <c:auto val="1"/>
        <c:lblAlgn val="ctr"/>
        <c:lblOffset val="100"/>
        <c:noMultiLvlLbl val="0"/>
      </c:catAx>
      <c:valAx>
        <c:axId val="2270906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708951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[NEW CHOCO.xlsx]Pivot Tables!PivotTable5</c:name>
    <c:fmtId val="10"/>
  </c:pivotSource>
  <c:chart>
    <c:title>
      <c:tx>
        <c:rich>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US" sz="1400">
                <a:solidFill>
                  <a:schemeClr val="tx1"/>
                </a:solidFill>
              </a:rPr>
              <a:t>Top</a:t>
            </a:r>
            <a:r>
              <a:rPr lang="en-US" sz="1400" baseline="0">
                <a:solidFill>
                  <a:schemeClr val="tx1"/>
                </a:solidFill>
              </a:rPr>
              <a:t> 5Profit by Product and Geography</a:t>
            </a:r>
            <a:endParaRPr lang="en-US" sz="1400">
              <a:solidFill>
                <a:schemeClr val="tx1"/>
              </a:solidFill>
            </a:endParaRPr>
          </a:p>
        </c:rich>
      </c:tx>
      <c:layout>
        <c:manualLayout>
          <c:xMode val="edge"/>
          <c:yMode val="edge"/>
          <c:x val="0.19140966754155733"/>
          <c:y val="3.13867016622922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hade val="50000"/>
                    <a:satMod val="103000"/>
                    <a:lumMod val="102000"/>
                    <a:tint val="94000"/>
                  </a:schemeClr>
                </a:gs>
                <a:gs pos="50000">
                  <a:schemeClr val="accent2">
                    <a:shade val="50000"/>
                    <a:satMod val="110000"/>
                    <a:lumMod val="100000"/>
                    <a:shade val="100000"/>
                  </a:schemeClr>
                </a:gs>
                <a:gs pos="100000">
                  <a:schemeClr val="accent2">
                    <a:shade val="50000"/>
                    <a:lumMod val="99000"/>
                    <a:satMod val="120000"/>
                    <a:shade val="78000"/>
                  </a:schemeClr>
                </a:gs>
              </a:gsLst>
              <a:lin ang="5400000" scaled="0"/>
            </a:gradFill>
            <a:ln w="9525">
              <a:solidFill>
                <a:schemeClr val="accent2">
                  <a:shade val="50000"/>
                </a:schemeClr>
              </a:solidFill>
              <a:round/>
            </a:ln>
            <a:effectLst>
              <a:outerShdw blurRad="57150" dist="19050" dir="5400000" algn="ctr" rotWithShape="0">
                <a:srgbClr val="000000">
                  <a:alpha val="63000"/>
                </a:srgbClr>
              </a:outerShdw>
            </a:effectLst>
          </c:spPr>
        </c:marker>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hade val="70000"/>
                    <a:satMod val="103000"/>
                    <a:lumMod val="102000"/>
                    <a:tint val="94000"/>
                  </a:schemeClr>
                </a:gs>
                <a:gs pos="50000">
                  <a:schemeClr val="accent2">
                    <a:shade val="70000"/>
                    <a:satMod val="110000"/>
                    <a:lumMod val="100000"/>
                    <a:shade val="100000"/>
                  </a:schemeClr>
                </a:gs>
                <a:gs pos="100000">
                  <a:schemeClr val="accent2">
                    <a:shade val="70000"/>
                    <a:lumMod val="99000"/>
                    <a:satMod val="120000"/>
                    <a:shade val="78000"/>
                  </a:schemeClr>
                </a:gs>
              </a:gsLst>
              <a:lin ang="5400000" scaled="0"/>
            </a:gradFill>
            <a:ln w="9525">
              <a:solidFill>
                <a:schemeClr val="accent2">
                  <a:shade val="70000"/>
                </a:schemeClr>
              </a:solidFill>
              <a:round/>
            </a:ln>
            <a:effectLst>
              <a:outerShdw blurRad="57150" dist="19050" dir="5400000" algn="ctr" rotWithShape="0">
                <a:srgbClr val="000000">
                  <a:alpha val="63000"/>
                </a:srgbClr>
              </a:outerShdw>
            </a:effectLst>
          </c:spPr>
        </c:marke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hade val="90000"/>
                    <a:satMod val="103000"/>
                    <a:lumMod val="102000"/>
                    <a:tint val="94000"/>
                  </a:schemeClr>
                </a:gs>
                <a:gs pos="50000">
                  <a:schemeClr val="accent2">
                    <a:shade val="90000"/>
                    <a:satMod val="110000"/>
                    <a:lumMod val="100000"/>
                    <a:shade val="100000"/>
                  </a:schemeClr>
                </a:gs>
                <a:gs pos="100000">
                  <a:schemeClr val="accent2">
                    <a:shade val="90000"/>
                    <a:lumMod val="99000"/>
                    <a:satMod val="120000"/>
                    <a:shade val="78000"/>
                  </a:schemeClr>
                </a:gs>
              </a:gsLst>
              <a:lin ang="5400000" scaled="0"/>
            </a:gradFill>
            <a:ln w="9525">
              <a:solidFill>
                <a:schemeClr val="accent2">
                  <a:shade val="90000"/>
                </a:schemeClr>
              </a:solidFill>
              <a:round/>
            </a:ln>
            <a:effectLst>
              <a:outerShdw blurRad="57150" dist="19050" dir="5400000" algn="ctr" rotWithShape="0">
                <a:srgbClr val="000000">
                  <a:alpha val="63000"/>
                </a:srgbClr>
              </a:outerShdw>
            </a:effectLst>
          </c:spPr>
        </c:marke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tint val="90000"/>
                    <a:satMod val="103000"/>
                    <a:lumMod val="102000"/>
                    <a:tint val="94000"/>
                  </a:schemeClr>
                </a:gs>
                <a:gs pos="50000">
                  <a:schemeClr val="accent2">
                    <a:tint val="90000"/>
                    <a:satMod val="110000"/>
                    <a:lumMod val="100000"/>
                    <a:shade val="100000"/>
                  </a:schemeClr>
                </a:gs>
                <a:gs pos="100000">
                  <a:schemeClr val="accent2">
                    <a:tint val="90000"/>
                    <a:lumMod val="99000"/>
                    <a:satMod val="120000"/>
                    <a:shade val="78000"/>
                  </a:schemeClr>
                </a:gs>
              </a:gsLst>
              <a:lin ang="5400000" scaled="0"/>
            </a:gradFill>
            <a:ln w="9525">
              <a:solidFill>
                <a:schemeClr val="accent2">
                  <a:tint val="90000"/>
                </a:schemeClr>
              </a:solidFill>
              <a:round/>
            </a:ln>
            <a:effectLst>
              <a:outerShdw blurRad="57150" dist="19050" dir="5400000" algn="ctr" rotWithShape="0">
                <a:srgbClr val="000000">
                  <a:alpha val="63000"/>
                </a:srgbClr>
              </a:outerShdw>
            </a:effectLst>
          </c:spPr>
        </c:marker>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tint val="70000"/>
                    <a:satMod val="103000"/>
                    <a:lumMod val="102000"/>
                    <a:tint val="94000"/>
                  </a:schemeClr>
                </a:gs>
                <a:gs pos="50000">
                  <a:schemeClr val="accent2">
                    <a:tint val="70000"/>
                    <a:satMod val="110000"/>
                    <a:lumMod val="100000"/>
                    <a:shade val="100000"/>
                  </a:schemeClr>
                </a:gs>
                <a:gs pos="100000">
                  <a:schemeClr val="accent2">
                    <a:tint val="70000"/>
                    <a:lumMod val="99000"/>
                    <a:satMod val="120000"/>
                    <a:shade val="78000"/>
                  </a:schemeClr>
                </a:gs>
              </a:gsLst>
              <a:lin ang="5400000" scaled="0"/>
            </a:gradFill>
            <a:ln w="9525">
              <a:solidFill>
                <a:schemeClr val="accent2">
                  <a:tint val="70000"/>
                </a:schemeClr>
              </a:solidFill>
              <a:round/>
            </a:ln>
            <a:effectLst>
              <a:outerShdw blurRad="57150" dist="19050" dir="5400000" algn="ctr" rotWithShape="0">
                <a:srgbClr val="000000">
                  <a:alpha val="63000"/>
                </a:srgbClr>
              </a:outerShdw>
            </a:effectLst>
          </c:spPr>
        </c:marker>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tint val="50000"/>
                    <a:satMod val="103000"/>
                    <a:lumMod val="102000"/>
                    <a:tint val="94000"/>
                  </a:schemeClr>
                </a:gs>
                <a:gs pos="50000">
                  <a:schemeClr val="accent2">
                    <a:tint val="50000"/>
                    <a:satMod val="110000"/>
                    <a:lumMod val="100000"/>
                    <a:shade val="100000"/>
                  </a:schemeClr>
                </a:gs>
                <a:gs pos="100000">
                  <a:schemeClr val="accent2">
                    <a:tint val="50000"/>
                    <a:lumMod val="99000"/>
                    <a:satMod val="120000"/>
                    <a:shade val="78000"/>
                  </a:schemeClr>
                </a:gs>
              </a:gsLst>
              <a:lin ang="5400000" scaled="0"/>
            </a:gradFill>
            <a:ln w="9525">
              <a:solidFill>
                <a:schemeClr val="accent2">
                  <a:tint val="50000"/>
                </a:schemeClr>
              </a:solidFill>
              <a:round/>
            </a:ln>
            <a:effectLst>
              <a:outerShdw blurRad="57150" dist="19050" dir="5400000" algn="ctr" rotWithShape="0">
                <a:srgbClr val="000000">
                  <a:alpha val="63000"/>
                </a:srgbClr>
              </a:outerShdw>
            </a:effectLst>
          </c:spPr>
        </c:marker>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Tables'!$K$3:$K$4</c:f>
              <c:strCache>
                <c:ptCount val="1"/>
                <c:pt idx="0">
                  <c:v>Australia</c:v>
                </c:pt>
              </c:strCache>
            </c:strRef>
          </c:tx>
          <c:spPr>
            <a:gradFill rotWithShape="1">
              <a:gsLst>
                <a:gs pos="0">
                  <a:schemeClr val="accent2">
                    <a:shade val="50000"/>
                    <a:satMod val="103000"/>
                    <a:lumMod val="102000"/>
                    <a:tint val="94000"/>
                  </a:schemeClr>
                </a:gs>
                <a:gs pos="50000">
                  <a:schemeClr val="accent2">
                    <a:shade val="50000"/>
                    <a:satMod val="110000"/>
                    <a:lumMod val="100000"/>
                    <a:shade val="100000"/>
                  </a:schemeClr>
                </a:gs>
                <a:gs pos="100000">
                  <a:schemeClr val="accent2">
                    <a:shade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Tables'!$J$5:$J$10</c:f>
              <c:strCache>
                <c:ptCount val="5"/>
                <c:pt idx="0">
                  <c:v>Baker's Choco Chips</c:v>
                </c:pt>
                <c:pt idx="1">
                  <c:v>Choco Coated Almonds</c:v>
                </c:pt>
                <c:pt idx="2">
                  <c:v>Eclairs</c:v>
                </c:pt>
                <c:pt idx="3">
                  <c:v>Peanut Butter Cubes</c:v>
                </c:pt>
                <c:pt idx="4">
                  <c:v>Raspberry Choco</c:v>
                </c:pt>
              </c:strCache>
            </c:strRef>
          </c:cat>
          <c:val>
            <c:numRef>
              <c:f>'Pivot Tables'!$K$5:$K$10</c:f>
              <c:numCache>
                <c:formatCode>General</c:formatCode>
                <c:ptCount val="5"/>
                <c:pt idx="0">
                  <c:v>9148</c:v>
                </c:pt>
                <c:pt idx="1">
                  <c:v>6803</c:v>
                </c:pt>
                <c:pt idx="2">
                  <c:v>2380</c:v>
                </c:pt>
                <c:pt idx="3">
                  <c:v>8430</c:v>
                </c:pt>
              </c:numCache>
            </c:numRef>
          </c:val>
          <c:extLst>
            <c:ext xmlns:c16="http://schemas.microsoft.com/office/drawing/2014/chart" uri="{C3380CC4-5D6E-409C-BE32-E72D297353CC}">
              <c16:uniqueId val="{00000000-C56C-4D12-826F-79B43603F274}"/>
            </c:ext>
          </c:extLst>
        </c:ser>
        <c:ser>
          <c:idx val="1"/>
          <c:order val="1"/>
          <c:tx>
            <c:strRef>
              <c:f>'Pivot Tables'!$L$3:$L$4</c:f>
              <c:strCache>
                <c:ptCount val="1"/>
                <c:pt idx="0">
                  <c:v>Canada</c:v>
                </c:pt>
              </c:strCache>
            </c:strRef>
          </c:tx>
          <c:spPr>
            <a:gradFill rotWithShape="1">
              <a:gsLst>
                <a:gs pos="0">
                  <a:schemeClr val="accent2">
                    <a:shade val="70000"/>
                    <a:satMod val="103000"/>
                    <a:lumMod val="102000"/>
                    <a:tint val="94000"/>
                  </a:schemeClr>
                </a:gs>
                <a:gs pos="50000">
                  <a:schemeClr val="accent2">
                    <a:shade val="70000"/>
                    <a:satMod val="110000"/>
                    <a:lumMod val="100000"/>
                    <a:shade val="100000"/>
                  </a:schemeClr>
                </a:gs>
                <a:gs pos="100000">
                  <a:schemeClr val="accent2">
                    <a:shade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Tables'!$J$5:$J$10</c:f>
              <c:strCache>
                <c:ptCount val="5"/>
                <c:pt idx="0">
                  <c:v>Baker's Choco Chips</c:v>
                </c:pt>
                <c:pt idx="1">
                  <c:v>Choco Coated Almonds</c:v>
                </c:pt>
                <c:pt idx="2">
                  <c:v>Eclairs</c:v>
                </c:pt>
                <c:pt idx="3">
                  <c:v>Peanut Butter Cubes</c:v>
                </c:pt>
                <c:pt idx="4">
                  <c:v>Raspberry Choco</c:v>
                </c:pt>
              </c:strCache>
            </c:strRef>
          </c:cat>
          <c:val>
            <c:numRef>
              <c:f>'Pivot Tables'!$L$5:$L$10</c:f>
              <c:numCache>
                <c:formatCode>General</c:formatCode>
                <c:ptCount val="5"/>
                <c:pt idx="1">
                  <c:v>20972</c:v>
                </c:pt>
                <c:pt idx="2">
                  <c:v>6782</c:v>
                </c:pt>
                <c:pt idx="3">
                  <c:v>8659</c:v>
                </c:pt>
              </c:numCache>
            </c:numRef>
          </c:val>
          <c:extLst>
            <c:ext xmlns:c16="http://schemas.microsoft.com/office/drawing/2014/chart" uri="{C3380CC4-5D6E-409C-BE32-E72D297353CC}">
              <c16:uniqueId val="{00000001-C56C-4D12-826F-79B43603F274}"/>
            </c:ext>
          </c:extLst>
        </c:ser>
        <c:ser>
          <c:idx val="2"/>
          <c:order val="2"/>
          <c:tx>
            <c:strRef>
              <c:f>'Pivot Tables'!$M$3:$M$4</c:f>
              <c:strCache>
                <c:ptCount val="1"/>
                <c:pt idx="0">
                  <c:v>India</c:v>
                </c:pt>
              </c:strCache>
            </c:strRef>
          </c:tx>
          <c:spPr>
            <a:gradFill rotWithShape="1">
              <a:gsLst>
                <a:gs pos="0">
                  <a:schemeClr val="accent2">
                    <a:shade val="90000"/>
                    <a:satMod val="103000"/>
                    <a:lumMod val="102000"/>
                    <a:tint val="94000"/>
                  </a:schemeClr>
                </a:gs>
                <a:gs pos="50000">
                  <a:schemeClr val="accent2">
                    <a:shade val="90000"/>
                    <a:satMod val="110000"/>
                    <a:lumMod val="100000"/>
                    <a:shade val="100000"/>
                  </a:schemeClr>
                </a:gs>
                <a:gs pos="100000">
                  <a:schemeClr val="accent2">
                    <a:shade val="9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Tables'!$J$5:$J$10</c:f>
              <c:strCache>
                <c:ptCount val="5"/>
                <c:pt idx="0">
                  <c:v>Baker's Choco Chips</c:v>
                </c:pt>
                <c:pt idx="1">
                  <c:v>Choco Coated Almonds</c:v>
                </c:pt>
                <c:pt idx="2">
                  <c:v>Eclairs</c:v>
                </c:pt>
                <c:pt idx="3">
                  <c:v>Peanut Butter Cubes</c:v>
                </c:pt>
                <c:pt idx="4">
                  <c:v>Raspberry Choco</c:v>
                </c:pt>
              </c:strCache>
            </c:strRef>
          </c:cat>
          <c:val>
            <c:numRef>
              <c:f>'Pivot Tables'!$M$5:$M$10</c:f>
              <c:numCache>
                <c:formatCode>General</c:formatCode>
                <c:ptCount val="5"/>
                <c:pt idx="0">
                  <c:v>19680</c:v>
                </c:pt>
                <c:pt idx="1">
                  <c:v>11700</c:v>
                </c:pt>
                <c:pt idx="2">
                  <c:v>20050</c:v>
                </c:pt>
                <c:pt idx="3">
                  <c:v>9656</c:v>
                </c:pt>
                <c:pt idx="4">
                  <c:v>9735</c:v>
                </c:pt>
              </c:numCache>
            </c:numRef>
          </c:val>
          <c:extLst>
            <c:ext xmlns:c16="http://schemas.microsoft.com/office/drawing/2014/chart" uri="{C3380CC4-5D6E-409C-BE32-E72D297353CC}">
              <c16:uniqueId val="{00000002-C56C-4D12-826F-79B43603F274}"/>
            </c:ext>
          </c:extLst>
        </c:ser>
        <c:ser>
          <c:idx val="3"/>
          <c:order val="3"/>
          <c:tx>
            <c:strRef>
              <c:f>'Pivot Tables'!$N$3:$N$4</c:f>
              <c:strCache>
                <c:ptCount val="1"/>
                <c:pt idx="0">
                  <c:v>New Zealand</c:v>
                </c:pt>
              </c:strCache>
            </c:strRef>
          </c:tx>
          <c:spPr>
            <a:gradFill rotWithShape="1">
              <a:gsLst>
                <a:gs pos="0">
                  <a:schemeClr val="accent2">
                    <a:tint val="90000"/>
                    <a:satMod val="103000"/>
                    <a:lumMod val="102000"/>
                    <a:tint val="94000"/>
                  </a:schemeClr>
                </a:gs>
                <a:gs pos="50000">
                  <a:schemeClr val="accent2">
                    <a:tint val="90000"/>
                    <a:satMod val="110000"/>
                    <a:lumMod val="100000"/>
                    <a:shade val="100000"/>
                  </a:schemeClr>
                </a:gs>
                <a:gs pos="100000">
                  <a:schemeClr val="accent2">
                    <a:tint val="9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Tables'!$J$5:$J$10</c:f>
              <c:strCache>
                <c:ptCount val="5"/>
                <c:pt idx="0">
                  <c:v>Baker's Choco Chips</c:v>
                </c:pt>
                <c:pt idx="1">
                  <c:v>Choco Coated Almonds</c:v>
                </c:pt>
                <c:pt idx="2">
                  <c:v>Eclairs</c:v>
                </c:pt>
                <c:pt idx="3">
                  <c:v>Peanut Butter Cubes</c:v>
                </c:pt>
                <c:pt idx="4">
                  <c:v>Raspberry Choco</c:v>
                </c:pt>
              </c:strCache>
            </c:strRef>
          </c:cat>
          <c:val>
            <c:numRef>
              <c:f>'Pivot Tables'!$N$5:$N$10</c:f>
              <c:numCache>
                <c:formatCode>General</c:formatCode>
                <c:ptCount val="5"/>
                <c:pt idx="0">
                  <c:v>20928</c:v>
                </c:pt>
                <c:pt idx="2">
                  <c:v>16978</c:v>
                </c:pt>
                <c:pt idx="3">
                  <c:v>5797</c:v>
                </c:pt>
                <c:pt idx="4">
                  <c:v>11727</c:v>
                </c:pt>
              </c:numCache>
            </c:numRef>
          </c:val>
          <c:extLst>
            <c:ext xmlns:c16="http://schemas.microsoft.com/office/drawing/2014/chart" uri="{C3380CC4-5D6E-409C-BE32-E72D297353CC}">
              <c16:uniqueId val="{00000003-C56C-4D12-826F-79B43603F274}"/>
            </c:ext>
          </c:extLst>
        </c:ser>
        <c:ser>
          <c:idx val="4"/>
          <c:order val="4"/>
          <c:tx>
            <c:strRef>
              <c:f>'Pivot Tables'!$O$3:$O$4</c:f>
              <c:strCache>
                <c:ptCount val="1"/>
                <c:pt idx="0">
                  <c:v>UK</c:v>
                </c:pt>
              </c:strCache>
            </c:strRef>
          </c:tx>
          <c:spPr>
            <a:gradFill rotWithShape="1">
              <a:gsLst>
                <a:gs pos="0">
                  <a:schemeClr val="accent2">
                    <a:tint val="70000"/>
                    <a:satMod val="103000"/>
                    <a:lumMod val="102000"/>
                    <a:tint val="94000"/>
                  </a:schemeClr>
                </a:gs>
                <a:gs pos="50000">
                  <a:schemeClr val="accent2">
                    <a:tint val="70000"/>
                    <a:satMod val="110000"/>
                    <a:lumMod val="100000"/>
                    <a:shade val="100000"/>
                  </a:schemeClr>
                </a:gs>
                <a:gs pos="100000">
                  <a:schemeClr val="accent2">
                    <a:tint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Tables'!$J$5:$J$10</c:f>
              <c:strCache>
                <c:ptCount val="5"/>
                <c:pt idx="0">
                  <c:v>Baker's Choco Chips</c:v>
                </c:pt>
                <c:pt idx="1">
                  <c:v>Choco Coated Almonds</c:v>
                </c:pt>
                <c:pt idx="2">
                  <c:v>Eclairs</c:v>
                </c:pt>
                <c:pt idx="3">
                  <c:v>Peanut Butter Cubes</c:v>
                </c:pt>
                <c:pt idx="4">
                  <c:v>Raspberry Choco</c:v>
                </c:pt>
              </c:strCache>
            </c:strRef>
          </c:cat>
          <c:val>
            <c:numRef>
              <c:f>'Pivot Tables'!$O$5:$O$10</c:f>
              <c:numCache>
                <c:formatCode>General</c:formatCode>
                <c:ptCount val="5"/>
                <c:pt idx="0">
                  <c:v>10358</c:v>
                </c:pt>
                <c:pt idx="2">
                  <c:v>9637</c:v>
                </c:pt>
                <c:pt idx="3">
                  <c:v>15038</c:v>
                </c:pt>
                <c:pt idx="4">
                  <c:v>9662</c:v>
                </c:pt>
              </c:numCache>
            </c:numRef>
          </c:val>
          <c:extLst>
            <c:ext xmlns:c16="http://schemas.microsoft.com/office/drawing/2014/chart" uri="{C3380CC4-5D6E-409C-BE32-E72D297353CC}">
              <c16:uniqueId val="{00000004-C56C-4D12-826F-79B43603F274}"/>
            </c:ext>
          </c:extLst>
        </c:ser>
        <c:ser>
          <c:idx val="5"/>
          <c:order val="5"/>
          <c:tx>
            <c:strRef>
              <c:f>'Pivot Tables'!$P$3:$P$4</c:f>
              <c:strCache>
                <c:ptCount val="1"/>
                <c:pt idx="0">
                  <c:v>USA</c:v>
                </c:pt>
              </c:strCache>
            </c:strRef>
          </c:tx>
          <c:spPr>
            <a:gradFill rotWithShape="1">
              <a:gsLst>
                <a:gs pos="0">
                  <a:schemeClr val="accent2">
                    <a:tint val="50000"/>
                    <a:satMod val="103000"/>
                    <a:lumMod val="102000"/>
                    <a:tint val="94000"/>
                  </a:schemeClr>
                </a:gs>
                <a:gs pos="50000">
                  <a:schemeClr val="accent2">
                    <a:tint val="50000"/>
                    <a:satMod val="110000"/>
                    <a:lumMod val="100000"/>
                    <a:shade val="100000"/>
                  </a:schemeClr>
                </a:gs>
                <a:gs pos="100000">
                  <a:schemeClr val="accent2">
                    <a:tint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Tables'!$J$5:$J$10</c:f>
              <c:strCache>
                <c:ptCount val="5"/>
                <c:pt idx="0">
                  <c:v>Baker's Choco Chips</c:v>
                </c:pt>
                <c:pt idx="1">
                  <c:v>Choco Coated Almonds</c:v>
                </c:pt>
                <c:pt idx="2">
                  <c:v>Eclairs</c:v>
                </c:pt>
                <c:pt idx="3">
                  <c:v>Peanut Butter Cubes</c:v>
                </c:pt>
                <c:pt idx="4">
                  <c:v>Raspberry Choco</c:v>
                </c:pt>
              </c:strCache>
            </c:strRef>
          </c:cat>
          <c:val>
            <c:numRef>
              <c:f>'Pivot Tables'!$P$5:$P$10</c:f>
              <c:numCache>
                <c:formatCode>General</c:formatCode>
                <c:ptCount val="5"/>
                <c:pt idx="1">
                  <c:v>13060</c:v>
                </c:pt>
                <c:pt idx="2">
                  <c:v>647</c:v>
                </c:pt>
                <c:pt idx="3">
                  <c:v>3525</c:v>
                </c:pt>
                <c:pt idx="4">
                  <c:v>21928</c:v>
                </c:pt>
              </c:numCache>
            </c:numRef>
          </c:val>
          <c:extLst>
            <c:ext xmlns:c16="http://schemas.microsoft.com/office/drawing/2014/chart" uri="{C3380CC4-5D6E-409C-BE32-E72D297353CC}">
              <c16:uniqueId val="{00000005-C56C-4D12-826F-79B43603F274}"/>
            </c:ext>
          </c:extLst>
        </c:ser>
        <c:dLbls>
          <c:showLegendKey val="0"/>
          <c:showVal val="0"/>
          <c:showCatName val="0"/>
          <c:showSerName val="0"/>
          <c:showPercent val="0"/>
          <c:showBubbleSize val="0"/>
        </c:dLbls>
        <c:gapWidth val="100"/>
        <c:overlap val="-24"/>
        <c:axId val="227091864"/>
        <c:axId val="227093040"/>
      </c:barChart>
      <c:catAx>
        <c:axId val="22709186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27093040"/>
        <c:crosses val="autoZero"/>
        <c:auto val="1"/>
        <c:lblAlgn val="ctr"/>
        <c:lblOffset val="100"/>
        <c:noMultiLvlLbl val="0"/>
      </c:catAx>
      <c:valAx>
        <c:axId val="22709304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27091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[NEW CHOCO.xlsx]Pivot Tables!PivotTable7</c:name>
    <c:fmtId val="8"/>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Top</a:t>
            </a:r>
            <a:r>
              <a:rPr lang="en-US" baseline="0">
                <a:solidFill>
                  <a:schemeClr val="tx1"/>
                </a:solidFill>
              </a:rPr>
              <a:t> 3 Selling Country</a:t>
            </a:r>
            <a:endParaRPr lang="en-US">
              <a:solidFill>
                <a:schemeClr val="tx1"/>
              </a:solidFill>
            </a:endParaRPr>
          </a:p>
        </c:rich>
      </c:tx>
      <c:layout>
        <c:manualLayout>
          <c:xMode val="edge"/>
          <c:yMode val="edge"/>
          <c:x val="0.34250000000000003"/>
          <c:y val="5.45348498104403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hade val="65000"/>
            </a:schemeClr>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tint val="65000"/>
            </a:schemeClr>
          </a:solidFill>
          <a:ln w="19050">
            <a:solidFill>
              <a:schemeClr val="lt1"/>
            </a:solidFill>
          </a:ln>
          <a:effectLst/>
        </c:spPr>
      </c:pivotFmt>
      <c:pivotFmt>
        <c:idx val="5"/>
        <c:spPr>
          <a:solidFill>
            <a:schemeClr val="accent2"/>
          </a:solidFill>
          <a:ln w="19050">
            <a:solidFill>
              <a:schemeClr val="accent2"/>
            </a:solidFill>
          </a:ln>
          <a:effectLst/>
        </c:spPr>
        <c:marker>
          <c:symbol val="none"/>
        </c:marker>
        <c:dLbl>
          <c:idx val="0"/>
          <c:spPr>
            <a:noFill/>
            <a:ln>
              <a:solidFill>
                <a:srgbClr val="ED7D31"/>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2">
              <a:shade val="65000"/>
            </a:schemeClr>
          </a:solidFill>
          <a:ln w="19050">
            <a:solidFill>
              <a:schemeClr val="accent2"/>
            </a:solidFill>
          </a:ln>
          <a:effectLst/>
        </c:spPr>
        <c:dLbl>
          <c:idx val="0"/>
          <c:layout>
            <c:manualLayout>
              <c:x val="0.18491515896498262"/>
              <c:y val="7.407407407407407E-2"/>
            </c:manualLayout>
          </c:layout>
          <c:spPr>
            <a:noFill/>
            <a:ln>
              <a:solidFill>
                <a:srgbClr val="ED7D31"/>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2"/>
          </a:solidFill>
          <a:ln w="19050">
            <a:solidFill>
              <a:schemeClr val="accent2"/>
            </a:solidFill>
          </a:ln>
          <a:effectLst/>
        </c:spPr>
        <c:dLbl>
          <c:idx val="0"/>
          <c:layout>
            <c:manualLayout>
              <c:x val="0.21501967373109068"/>
              <c:y val="0.1111111111111111"/>
            </c:manualLayout>
          </c:layout>
          <c:spPr>
            <a:noFill/>
            <a:ln>
              <a:solidFill>
                <a:srgbClr val="ED7D31"/>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2">
              <a:tint val="65000"/>
            </a:schemeClr>
          </a:solidFill>
          <a:ln w="19050">
            <a:solidFill>
              <a:schemeClr val="accent2"/>
            </a:solidFill>
          </a:ln>
          <a:effectLst/>
        </c:spPr>
        <c:dLbl>
          <c:idx val="0"/>
          <c:layout>
            <c:manualLayout>
              <c:x val="-0.19247858126764306"/>
              <c:y val="0.12962962962962954"/>
            </c:manualLayout>
          </c:layout>
          <c:spPr>
            <a:noFill/>
            <a:ln>
              <a:solidFill>
                <a:srgbClr val="ED7D31"/>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2">
              <a:tint val="70000"/>
            </a:schemeClr>
          </a:solidFill>
          <a:ln w="19050">
            <a:solidFill>
              <a:schemeClr val="accent2"/>
            </a:solidFill>
          </a:ln>
          <a:effectLst/>
        </c:spPr>
        <c:dLbl>
          <c:idx val="0"/>
          <c:layout>
            <c:manualLayout>
              <c:x val="-0.18043004243596"/>
              <c:y val="3.2407407407407406E-2"/>
            </c:manualLayout>
          </c:layout>
          <c:spPr>
            <a:noFill/>
            <a:ln>
              <a:solidFill>
                <a:srgbClr val="ED7D31"/>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2"/>
          </a:solidFill>
          <a:ln w="19050">
            <a:solidFill>
              <a:schemeClr val="accent2"/>
            </a:solidFill>
          </a:ln>
          <a:effectLst/>
        </c:spPr>
        <c:dLbl>
          <c:idx val="0"/>
          <c:layout>
            <c:manualLayout>
              <c:x val="-0.26672267142707129"/>
              <c:y val="-6.9444444444444448E-2"/>
            </c:manualLayout>
          </c:layout>
          <c:spPr>
            <a:noFill/>
            <a:ln>
              <a:solidFill>
                <a:srgbClr val="ED7D31"/>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2">
              <a:shade val="50000"/>
            </a:schemeClr>
          </a:solidFill>
          <a:ln w="19050">
            <a:solidFill>
              <a:schemeClr val="accent2"/>
            </a:solidFill>
          </a:ln>
          <a:effectLst/>
        </c:spPr>
        <c:dLbl>
          <c:idx val="0"/>
          <c:layout>
            <c:manualLayout>
              <c:x val="0.28633463256141478"/>
              <c:y val="-4.6296296296296294E-2"/>
            </c:manualLayout>
          </c:layout>
          <c:spPr>
            <a:noFill/>
            <a:ln>
              <a:solidFill>
                <a:srgbClr val="ED7D31"/>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 Tables'!$AD$3</c:f>
              <c:strCache>
                <c:ptCount val="1"/>
                <c:pt idx="0">
                  <c:v>Total</c:v>
                </c:pt>
              </c:strCache>
            </c:strRef>
          </c:tx>
          <c:spPr>
            <a:ln>
              <a:solidFill>
                <a:schemeClr val="accent2"/>
              </a:solidFill>
            </a:ln>
          </c:spPr>
          <c:explosion val="3"/>
          <c:dPt>
            <c:idx val="0"/>
            <c:bubble3D val="0"/>
            <c:spPr>
              <a:solidFill>
                <a:schemeClr val="accent2">
                  <a:shade val="50000"/>
                </a:schemeClr>
              </a:solidFill>
              <a:ln w="19050">
                <a:solidFill>
                  <a:schemeClr val="accent2"/>
                </a:solidFill>
              </a:ln>
              <a:effectLst/>
            </c:spPr>
            <c:extLst>
              <c:ext xmlns:c16="http://schemas.microsoft.com/office/drawing/2014/chart" uri="{C3380CC4-5D6E-409C-BE32-E72D297353CC}">
                <c16:uniqueId val="{00000001-90D2-4B62-968B-981A1CD6CB8B}"/>
              </c:ext>
            </c:extLst>
          </c:dPt>
          <c:dPt>
            <c:idx val="1"/>
            <c:bubble3D val="0"/>
            <c:spPr>
              <a:solidFill>
                <a:schemeClr val="accent2">
                  <a:shade val="65000"/>
                </a:schemeClr>
              </a:solidFill>
              <a:ln w="19050">
                <a:solidFill>
                  <a:schemeClr val="accent2"/>
                </a:solidFill>
              </a:ln>
              <a:effectLst/>
            </c:spPr>
            <c:extLst>
              <c:ext xmlns:c16="http://schemas.microsoft.com/office/drawing/2014/chart" uri="{C3380CC4-5D6E-409C-BE32-E72D297353CC}">
                <c16:uniqueId val="{00000003-90D2-4B62-968B-981A1CD6CB8B}"/>
              </c:ext>
            </c:extLst>
          </c:dPt>
          <c:dPt>
            <c:idx val="2"/>
            <c:bubble3D val="0"/>
            <c:spPr>
              <a:solidFill>
                <a:schemeClr val="accent2"/>
              </a:solidFill>
              <a:ln w="19050">
                <a:solidFill>
                  <a:schemeClr val="accent2"/>
                </a:solidFill>
              </a:ln>
              <a:effectLst/>
            </c:spPr>
            <c:extLst>
              <c:ext xmlns:c16="http://schemas.microsoft.com/office/drawing/2014/chart" uri="{C3380CC4-5D6E-409C-BE32-E72D297353CC}">
                <c16:uniqueId val="{00000005-90D2-4B62-968B-981A1CD6CB8B}"/>
              </c:ext>
            </c:extLst>
          </c:dPt>
          <c:dPt>
            <c:idx val="3"/>
            <c:bubble3D val="0"/>
            <c:spPr>
              <a:solidFill>
                <a:schemeClr val="accent2">
                  <a:tint val="65000"/>
                </a:schemeClr>
              </a:solidFill>
              <a:ln w="19050">
                <a:solidFill>
                  <a:schemeClr val="accent2"/>
                </a:solidFill>
              </a:ln>
              <a:effectLst/>
            </c:spPr>
            <c:extLst>
              <c:ext xmlns:c16="http://schemas.microsoft.com/office/drawing/2014/chart" uri="{C3380CC4-5D6E-409C-BE32-E72D297353CC}">
                <c16:uniqueId val="{00000007-90D2-4B62-968B-981A1CD6CB8B}"/>
              </c:ext>
            </c:extLst>
          </c:dPt>
          <c:dPt>
            <c:idx val="4"/>
            <c:bubble3D val="0"/>
            <c:spPr>
              <a:solidFill>
                <a:schemeClr val="accent2">
                  <a:tint val="70000"/>
                </a:schemeClr>
              </a:solidFill>
              <a:ln w="19050">
                <a:solidFill>
                  <a:schemeClr val="accent2"/>
                </a:solidFill>
              </a:ln>
              <a:effectLst/>
            </c:spPr>
            <c:extLst>
              <c:ext xmlns:c16="http://schemas.microsoft.com/office/drawing/2014/chart" uri="{C3380CC4-5D6E-409C-BE32-E72D297353CC}">
                <c16:uniqueId val="{00000009-90D2-4B62-968B-981A1CD6CB8B}"/>
              </c:ext>
            </c:extLst>
          </c:dPt>
          <c:dPt>
            <c:idx val="5"/>
            <c:bubble3D val="0"/>
            <c:spPr>
              <a:solidFill>
                <a:schemeClr val="accent2">
                  <a:tint val="50000"/>
                </a:schemeClr>
              </a:solidFill>
              <a:ln w="19050">
                <a:solidFill>
                  <a:schemeClr val="accent2"/>
                </a:solidFill>
              </a:ln>
              <a:effectLst/>
            </c:spPr>
            <c:extLst>
              <c:ext xmlns:c16="http://schemas.microsoft.com/office/drawing/2014/chart" uri="{C3380CC4-5D6E-409C-BE32-E72D297353CC}">
                <c16:uniqueId val="{0000000B-90D2-4B62-968B-981A1CD6CB8B}"/>
              </c:ext>
            </c:extLst>
          </c:dPt>
          <c:dLbls>
            <c:dLbl>
              <c:idx val="0"/>
              <c:layout>
                <c:manualLayout>
                  <c:x val="0.28633463256141478"/>
                  <c:y val="-4.629629629629629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0D2-4B62-968B-981A1CD6CB8B}"/>
                </c:ext>
              </c:extLst>
            </c:dLbl>
            <c:dLbl>
              <c:idx val="1"/>
              <c:layout>
                <c:manualLayout>
                  <c:x val="0.18491515896498262"/>
                  <c:y val="7.40740740740740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0D2-4B62-968B-981A1CD6CB8B}"/>
                </c:ext>
              </c:extLst>
            </c:dLbl>
            <c:dLbl>
              <c:idx val="2"/>
              <c:layout>
                <c:manualLayout>
                  <c:x val="0.21501967373109068"/>
                  <c:y val="0.111111111111111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90D2-4B62-968B-981A1CD6CB8B}"/>
                </c:ext>
              </c:extLst>
            </c:dLbl>
            <c:dLbl>
              <c:idx val="3"/>
              <c:layout>
                <c:manualLayout>
                  <c:x val="-0.19247858126764306"/>
                  <c:y val="0.1296296296296295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90D2-4B62-968B-981A1CD6CB8B}"/>
                </c:ext>
              </c:extLst>
            </c:dLbl>
            <c:dLbl>
              <c:idx val="4"/>
              <c:layout>
                <c:manualLayout>
                  <c:x val="-0.18043004243596"/>
                  <c:y val="3.240740740740740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90D2-4B62-968B-981A1CD6CB8B}"/>
                </c:ext>
              </c:extLst>
            </c:dLbl>
            <c:dLbl>
              <c:idx val="5"/>
              <c:layout>
                <c:manualLayout>
                  <c:x val="-0.26672267142707129"/>
                  <c:y val="-6.944444444444444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90D2-4B62-968B-981A1CD6CB8B}"/>
                </c:ext>
              </c:extLst>
            </c:dLbl>
            <c:spPr>
              <a:noFill/>
              <a:ln>
                <a:solidFill>
                  <a:srgbClr val="ED7D31"/>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Tables'!$AC$4:$AC$10</c:f>
              <c:strCache>
                <c:ptCount val="6"/>
                <c:pt idx="0">
                  <c:v>Australia</c:v>
                </c:pt>
                <c:pt idx="1">
                  <c:v>Canada</c:v>
                </c:pt>
                <c:pt idx="2">
                  <c:v>India</c:v>
                </c:pt>
                <c:pt idx="3">
                  <c:v>New Zealand</c:v>
                </c:pt>
                <c:pt idx="4">
                  <c:v>UK</c:v>
                </c:pt>
                <c:pt idx="5">
                  <c:v>USA</c:v>
                </c:pt>
              </c:strCache>
            </c:strRef>
          </c:cat>
          <c:val>
            <c:numRef>
              <c:f>'Pivot Tables'!$AD$4:$AD$10</c:f>
              <c:numCache>
                <c:formatCode>General</c:formatCode>
                <c:ptCount val="6"/>
                <c:pt idx="0">
                  <c:v>168679</c:v>
                </c:pt>
                <c:pt idx="1">
                  <c:v>237944</c:v>
                </c:pt>
                <c:pt idx="2">
                  <c:v>252469</c:v>
                </c:pt>
                <c:pt idx="3">
                  <c:v>218813</c:v>
                </c:pt>
                <c:pt idx="4">
                  <c:v>173530</c:v>
                </c:pt>
                <c:pt idx="5">
                  <c:v>189434</c:v>
                </c:pt>
              </c:numCache>
            </c:numRef>
          </c:val>
          <c:extLst>
            <c:ext xmlns:c16="http://schemas.microsoft.com/office/drawing/2014/chart" uri="{C3380CC4-5D6E-409C-BE32-E72D297353CC}">
              <c16:uniqueId val="{0000000C-90D2-4B62-968B-981A1CD6CB8B}"/>
            </c:ext>
          </c:extLst>
        </c:ser>
        <c:dLbls>
          <c:showLegendKey val="0"/>
          <c:showVal val="0"/>
          <c:showCatName val="0"/>
          <c:showSerName val="0"/>
          <c:showPercent val="0"/>
          <c:showBubbleSize val="0"/>
          <c:showLeaderLines val="1"/>
        </c:dLbls>
        <c:firstSliceAng val="0"/>
        <c:holeSize val="58"/>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[NEW CHOCO.xlsx]Pivot Tables!PivotTable12</c:name>
    <c:fmtId val="4"/>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Top</a:t>
            </a:r>
            <a:r>
              <a:rPr lang="en-US" baseline="0">
                <a:solidFill>
                  <a:schemeClr val="tx1"/>
                </a:solidFill>
              </a:rPr>
              <a:t> 10 % Profit by Product and Geography</a:t>
            </a:r>
            <a:endParaRPr lang="en-US">
              <a:solidFill>
                <a:schemeClr val="tx1"/>
              </a:solidFill>
            </a:endParaRPr>
          </a:p>
        </c:rich>
      </c:tx>
      <c:layout>
        <c:manualLayout>
          <c:xMode val="edge"/>
          <c:yMode val="edge"/>
          <c:x val="0.21036247065118549"/>
          <c:y val="1.76600466058363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w="19050">
            <a:solidFill>
              <a:schemeClr val="lt1"/>
            </a:solidFill>
          </a:ln>
          <a:effectLst/>
        </c:spPr>
        <c:marker>
          <c:symbol val="none"/>
        </c:marker>
      </c:pivotFmt>
      <c:pivotFmt>
        <c:idx val="2"/>
        <c:spPr>
          <a:solidFill>
            <a:schemeClr val="accent2"/>
          </a:solidFill>
          <a:ln w="19050">
            <a:solidFill>
              <a:schemeClr val="lt1"/>
            </a:solidFill>
          </a:ln>
          <a:effectLst/>
        </c:spPr>
        <c:marker>
          <c:symbol val="none"/>
        </c:marker>
      </c:pivotFmt>
      <c:pivotFmt>
        <c:idx val="3"/>
        <c:spPr>
          <a:solidFill>
            <a:schemeClr val="accent2"/>
          </a:solidFill>
          <a:ln w="19050">
            <a:solidFill>
              <a:schemeClr val="lt1"/>
            </a:solidFill>
          </a:ln>
          <a:effectLst/>
        </c:spPr>
        <c:marker>
          <c:symbol val="none"/>
        </c:marker>
      </c:pivotFmt>
      <c:pivotFmt>
        <c:idx val="4"/>
        <c:spPr>
          <a:solidFill>
            <a:schemeClr val="accent2"/>
          </a:solidFill>
          <a:ln w="19050">
            <a:solidFill>
              <a:schemeClr val="lt1"/>
            </a:solidFill>
          </a:ln>
          <a:effectLst/>
        </c:spPr>
        <c:marker>
          <c:symbol val="none"/>
        </c:marker>
      </c:pivotFmt>
      <c:pivotFmt>
        <c:idx val="5"/>
        <c:spPr>
          <a:solidFill>
            <a:schemeClr val="accent2"/>
          </a:solidFill>
          <a:ln w="19050">
            <a:solidFill>
              <a:schemeClr val="lt1"/>
            </a:solidFill>
          </a:ln>
          <a:effectLst/>
        </c:spPr>
        <c:marker>
          <c:symbol val="none"/>
        </c:marker>
      </c:pivotFmt>
      <c:pivotFmt>
        <c:idx val="6"/>
        <c:spPr>
          <a:solidFill>
            <a:schemeClr val="accent2"/>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2">
              <a:shade val="42000"/>
            </a:schemeClr>
          </a:solidFill>
          <a:ln w="19050">
            <a:solidFill>
              <a:schemeClr val="lt1"/>
            </a:solidFill>
          </a:ln>
          <a:effectLst/>
        </c:spPr>
      </c:pivotFmt>
      <c:pivotFmt>
        <c:idx val="8"/>
        <c:spPr>
          <a:solidFill>
            <a:schemeClr val="accent2">
              <a:shade val="55000"/>
            </a:schemeClr>
          </a:solidFill>
          <a:ln w="19050">
            <a:solidFill>
              <a:schemeClr val="lt1"/>
            </a:solidFill>
          </a:ln>
          <a:effectLst/>
        </c:spPr>
      </c:pivotFmt>
      <c:pivotFmt>
        <c:idx val="9"/>
        <c:spPr>
          <a:solidFill>
            <a:schemeClr val="accent2">
              <a:shade val="68000"/>
            </a:schemeClr>
          </a:solidFill>
          <a:ln w="19050">
            <a:solidFill>
              <a:schemeClr val="lt1"/>
            </a:solidFill>
          </a:ln>
          <a:effectLst/>
        </c:spPr>
      </c:pivotFmt>
      <c:pivotFmt>
        <c:idx val="10"/>
        <c:spPr>
          <a:solidFill>
            <a:schemeClr val="accent2">
              <a:shade val="80000"/>
            </a:schemeClr>
          </a:solidFill>
          <a:ln w="19050">
            <a:solidFill>
              <a:schemeClr val="lt1"/>
            </a:solidFill>
          </a:ln>
          <a:effectLst/>
        </c:spPr>
      </c:pivotFmt>
      <c:pivotFmt>
        <c:idx val="11"/>
        <c:spPr>
          <a:solidFill>
            <a:schemeClr val="accent2">
              <a:shade val="93000"/>
            </a:schemeClr>
          </a:solidFill>
          <a:ln w="19050">
            <a:solidFill>
              <a:schemeClr val="lt1"/>
            </a:solidFill>
          </a:ln>
          <a:effectLst/>
        </c:spPr>
      </c:pivotFmt>
      <c:pivotFmt>
        <c:idx val="12"/>
        <c:spPr>
          <a:solidFill>
            <a:schemeClr val="accent2">
              <a:tint val="94000"/>
            </a:schemeClr>
          </a:solidFill>
          <a:ln w="19050">
            <a:solidFill>
              <a:schemeClr val="lt1"/>
            </a:solidFill>
          </a:ln>
          <a:effectLst/>
        </c:spPr>
      </c:pivotFmt>
      <c:pivotFmt>
        <c:idx val="13"/>
        <c:spPr>
          <a:solidFill>
            <a:schemeClr val="accent2">
              <a:tint val="81000"/>
            </a:schemeClr>
          </a:solidFill>
          <a:ln w="19050">
            <a:solidFill>
              <a:schemeClr val="lt1"/>
            </a:solidFill>
          </a:ln>
          <a:effectLst/>
        </c:spPr>
      </c:pivotFmt>
      <c:pivotFmt>
        <c:idx val="14"/>
        <c:spPr>
          <a:solidFill>
            <a:schemeClr val="accent2">
              <a:tint val="69000"/>
            </a:schemeClr>
          </a:solidFill>
          <a:ln w="19050">
            <a:solidFill>
              <a:schemeClr val="lt1"/>
            </a:solidFill>
          </a:ln>
          <a:effectLst/>
        </c:spPr>
      </c:pivotFmt>
      <c:pivotFmt>
        <c:idx val="15"/>
        <c:spPr>
          <a:solidFill>
            <a:schemeClr val="accent2">
              <a:tint val="56000"/>
            </a:schemeClr>
          </a:solidFill>
          <a:ln w="19050">
            <a:solidFill>
              <a:schemeClr val="lt1"/>
            </a:solidFill>
          </a:ln>
          <a:effectLst/>
        </c:spPr>
      </c:pivotFmt>
      <c:pivotFmt>
        <c:idx val="16"/>
        <c:spPr>
          <a:solidFill>
            <a:schemeClr val="accent2">
              <a:tint val="43000"/>
            </a:schemeClr>
          </a:solidFill>
          <a:ln w="19050">
            <a:solidFill>
              <a:schemeClr val="lt1"/>
            </a:solidFill>
          </a:ln>
          <a:effectLst/>
        </c:spPr>
      </c:pivotFmt>
      <c:pivotFmt>
        <c:idx val="17"/>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2">
              <a:shade val="42000"/>
            </a:schemeClr>
          </a:solidFill>
          <a:ln w="19050">
            <a:solidFill>
              <a:schemeClr val="lt1"/>
            </a:solidFill>
          </a:ln>
          <a:effectLst/>
        </c:spPr>
      </c:pivotFmt>
      <c:pivotFmt>
        <c:idx val="19"/>
        <c:spPr>
          <a:solidFill>
            <a:schemeClr val="accent2">
              <a:shade val="55000"/>
            </a:schemeClr>
          </a:solidFill>
          <a:ln w="19050">
            <a:solidFill>
              <a:schemeClr val="lt1"/>
            </a:solidFill>
          </a:ln>
          <a:effectLst/>
        </c:spPr>
      </c:pivotFmt>
      <c:pivotFmt>
        <c:idx val="20"/>
        <c:spPr>
          <a:solidFill>
            <a:schemeClr val="accent2">
              <a:shade val="68000"/>
            </a:schemeClr>
          </a:solidFill>
          <a:ln w="19050">
            <a:solidFill>
              <a:schemeClr val="lt1"/>
            </a:solidFill>
          </a:ln>
          <a:effectLst/>
        </c:spPr>
      </c:pivotFmt>
      <c:pivotFmt>
        <c:idx val="21"/>
        <c:spPr>
          <a:solidFill>
            <a:schemeClr val="accent2">
              <a:shade val="80000"/>
            </a:schemeClr>
          </a:solidFill>
          <a:ln w="19050">
            <a:solidFill>
              <a:schemeClr val="lt1"/>
            </a:solidFill>
          </a:ln>
          <a:effectLst/>
        </c:spPr>
      </c:pivotFmt>
      <c:pivotFmt>
        <c:idx val="22"/>
        <c:spPr>
          <a:solidFill>
            <a:schemeClr val="accent2">
              <a:shade val="93000"/>
            </a:schemeClr>
          </a:solidFill>
          <a:ln w="19050">
            <a:solidFill>
              <a:schemeClr val="lt1"/>
            </a:solidFill>
          </a:ln>
          <a:effectLst/>
        </c:spPr>
      </c:pivotFmt>
      <c:pivotFmt>
        <c:idx val="23"/>
        <c:spPr>
          <a:solidFill>
            <a:schemeClr val="accent2">
              <a:tint val="94000"/>
            </a:schemeClr>
          </a:solidFill>
          <a:ln w="19050">
            <a:solidFill>
              <a:schemeClr val="lt1"/>
            </a:solidFill>
          </a:ln>
          <a:effectLst/>
        </c:spPr>
      </c:pivotFmt>
      <c:pivotFmt>
        <c:idx val="24"/>
        <c:spPr>
          <a:solidFill>
            <a:schemeClr val="accent2">
              <a:tint val="81000"/>
            </a:schemeClr>
          </a:solidFill>
          <a:ln w="19050">
            <a:solidFill>
              <a:schemeClr val="lt1"/>
            </a:solidFill>
          </a:ln>
          <a:effectLst/>
        </c:spPr>
      </c:pivotFmt>
      <c:pivotFmt>
        <c:idx val="25"/>
        <c:spPr>
          <a:solidFill>
            <a:schemeClr val="accent2">
              <a:tint val="69000"/>
            </a:schemeClr>
          </a:solidFill>
          <a:ln w="19050">
            <a:solidFill>
              <a:schemeClr val="lt1"/>
            </a:solidFill>
          </a:ln>
          <a:effectLst/>
        </c:spPr>
      </c:pivotFmt>
      <c:pivotFmt>
        <c:idx val="26"/>
        <c:spPr>
          <a:solidFill>
            <a:schemeClr val="accent2">
              <a:tint val="56000"/>
            </a:schemeClr>
          </a:solidFill>
          <a:ln w="19050">
            <a:solidFill>
              <a:schemeClr val="lt1"/>
            </a:solidFill>
          </a:ln>
          <a:effectLst/>
        </c:spPr>
      </c:pivotFmt>
      <c:pivotFmt>
        <c:idx val="27"/>
        <c:spPr>
          <a:solidFill>
            <a:schemeClr val="accent2">
              <a:tint val="43000"/>
            </a:schemeClr>
          </a:solidFill>
          <a:ln w="19050">
            <a:solidFill>
              <a:schemeClr val="lt1"/>
            </a:solidFill>
          </a:ln>
          <a:effectLst/>
        </c:spPr>
      </c:pivotFmt>
      <c:pivotFmt>
        <c:idx val="2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2">
              <a:shade val="42000"/>
            </a:schemeClr>
          </a:solidFill>
          <a:ln w="19050">
            <a:solidFill>
              <a:schemeClr val="lt1"/>
            </a:solidFill>
          </a:ln>
          <a:effectLst/>
        </c:spPr>
      </c:pivotFmt>
      <c:pivotFmt>
        <c:idx val="30"/>
        <c:spPr>
          <a:solidFill>
            <a:schemeClr val="accent2">
              <a:shade val="55000"/>
            </a:schemeClr>
          </a:solidFill>
          <a:ln w="19050">
            <a:solidFill>
              <a:schemeClr val="lt1"/>
            </a:solidFill>
          </a:ln>
          <a:effectLst/>
        </c:spPr>
      </c:pivotFmt>
      <c:pivotFmt>
        <c:idx val="31"/>
        <c:spPr>
          <a:solidFill>
            <a:schemeClr val="accent2">
              <a:shade val="68000"/>
            </a:schemeClr>
          </a:solidFill>
          <a:ln w="19050">
            <a:solidFill>
              <a:schemeClr val="lt1"/>
            </a:solidFill>
          </a:ln>
          <a:effectLst/>
        </c:spPr>
      </c:pivotFmt>
      <c:pivotFmt>
        <c:idx val="32"/>
        <c:spPr>
          <a:solidFill>
            <a:schemeClr val="accent2">
              <a:shade val="80000"/>
            </a:schemeClr>
          </a:solidFill>
          <a:ln w="19050">
            <a:solidFill>
              <a:schemeClr val="lt1"/>
            </a:solidFill>
          </a:ln>
          <a:effectLst/>
        </c:spPr>
      </c:pivotFmt>
      <c:pivotFmt>
        <c:idx val="33"/>
        <c:spPr>
          <a:solidFill>
            <a:schemeClr val="accent2">
              <a:shade val="93000"/>
            </a:schemeClr>
          </a:solidFill>
          <a:ln w="19050">
            <a:solidFill>
              <a:schemeClr val="lt1"/>
            </a:solidFill>
          </a:ln>
          <a:effectLst/>
        </c:spPr>
      </c:pivotFmt>
      <c:pivotFmt>
        <c:idx val="34"/>
        <c:spPr>
          <a:solidFill>
            <a:schemeClr val="accent2">
              <a:tint val="94000"/>
            </a:schemeClr>
          </a:solidFill>
          <a:ln w="19050">
            <a:solidFill>
              <a:schemeClr val="lt1"/>
            </a:solidFill>
          </a:ln>
          <a:effectLst/>
        </c:spPr>
      </c:pivotFmt>
      <c:pivotFmt>
        <c:idx val="35"/>
        <c:spPr>
          <a:solidFill>
            <a:schemeClr val="accent2">
              <a:tint val="81000"/>
            </a:schemeClr>
          </a:solidFill>
          <a:ln w="19050">
            <a:solidFill>
              <a:schemeClr val="lt1"/>
            </a:solidFill>
          </a:ln>
          <a:effectLst/>
        </c:spPr>
      </c:pivotFmt>
      <c:pivotFmt>
        <c:idx val="36"/>
        <c:spPr>
          <a:solidFill>
            <a:schemeClr val="accent2">
              <a:tint val="69000"/>
            </a:schemeClr>
          </a:solidFill>
          <a:ln w="19050">
            <a:solidFill>
              <a:schemeClr val="lt1"/>
            </a:solidFill>
          </a:ln>
          <a:effectLst/>
        </c:spPr>
      </c:pivotFmt>
      <c:pivotFmt>
        <c:idx val="37"/>
        <c:spPr>
          <a:solidFill>
            <a:schemeClr val="accent2">
              <a:tint val="56000"/>
            </a:schemeClr>
          </a:solidFill>
          <a:ln w="19050">
            <a:solidFill>
              <a:schemeClr val="lt1"/>
            </a:solidFill>
          </a:ln>
          <a:effectLst/>
        </c:spPr>
      </c:pivotFmt>
      <c:pivotFmt>
        <c:idx val="38"/>
        <c:spPr>
          <a:solidFill>
            <a:schemeClr val="accent2">
              <a:tint val="43000"/>
            </a:schemeClr>
          </a:solidFill>
          <a:ln w="19050">
            <a:solidFill>
              <a:schemeClr val="lt1"/>
            </a:solidFill>
          </a:ln>
          <a:effectLst/>
        </c:spPr>
      </c:pivotFmt>
      <c:pivotFmt>
        <c:idx val="39"/>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2">
              <a:shade val="42000"/>
            </a:schemeClr>
          </a:solidFill>
          <a:ln w="19050">
            <a:solidFill>
              <a:schemeClr val="lt1"/>
            </a:solidFill>
          </a:ln>
          <a:effectLst/>
        </c:spPr>
      </c:pivotFmt>
      <c:pivotFmt>
        <c:idx val="41"/>
        <c:spPr>
          <a:solidFill>
            <a:schemeClr val="accent2">
              <a:shade val="55000"/>
            </a:schemeClr>
          </a:solidFill>
          <a:ln w="19050">
            <a:solidFill>
              <a:schemeClr val="lt1"/>
            </a:solidFill>
          </a:ln>
          <a:effectLst/>
        </c:spPr>
      </c:pivotFmt>
      <c:pivotFmt>
        <c:idx val="42"/>
        <c:spPr>
          <a:solidFill>
            <a:schemeClr val="accent2">
              <a:shade val="68000"/>
            </a:schemeClr>
          </a:solidFill>
          <a:ln w="19050">
            <a:solidFill>
              <a:schemeClr val="lt1"/>
            </a:solidFill>
          </a:ln>
          <a:effectLst/>
        </c:spPr>
      </c:pivotFmt>
      <c:pivotFmt>
        <c:idx val="43"/>
        <c:spPr>
          <a:solidFill>
            <a:schemeClr val="accent2">
              <a:shade val="80000"/>
            </a:schemeClr>
          </a:solidFill>
          <a:ln w="19050">
            <a:solidFill>
              <a:schemeClr val="lt1"/>
            </a:solidFill>
          </a:ln>
          <a:effectLst/>
        </c:spPr>
      </c:pivotFmt>
      <c:pivotFmt>
        <c:idx val="44"/>
        <c:spPr>
          <a:solidFill>
            <a:schemeClr val="accent2">
              <a:shade val="93000"/>
            </a:schemeClr>
          </a:solidFill>
          <a:ln w="19050">
            <a:solidFill>
              <a:schemeClr val="lt1"/>
            </a:solidFill>
          </a:ln>
          <a:effectLst/>
        </c:spPr>
      </c:pivotFmt>
      <c:pivotFmt>
        <c:idx val="45"/>
        <c:spPr>
          <a:solidFill>
            <a:schemeClr val="accent2">
              <a:tint val="94000"/>
            </a:schemeClr>
          </a:solidFill>
          <a:ln w="19050">
            <a:solidFill>
              <a:schemeClr val="lt1"/>
            </a:solidFill>
          </a:ln>
          <a:effectLst/>
        </c:spPr>
      </c:pivotFmt>
      <c:pivotFmt>
        <c:idx val="46"/>
        <c:spPr>
          <a:solidFill>
            <a:schemeClr val="accent2">
              <a:tint val="81000"/>
            </a:schemeClr>
          </a:solidFill>
          <a:ln w="19050">
            <a:solidFill>
              <a:schemeClr val="lt1"/>
            </a:solidFill>
          </a:ln>
          <a:effectLst/>
        </c:spPr>
      </c:pivotFmt>
      <c:pivotFmt>
        <c:idx val="47"/>
        <c:spPr>
          <a:solidFill>
            <a:schemeClr val="accent2">
              <a:tint val="69000"/>
            </a:schemeClr>
          </a:solidFill>
          <a:ln w="19050">
            <a:solidFill>
              <a:schemeClr val="lt1"/>
            </a:solidFill>
          </a:ln>
          <a:effectLst/>
        </c:spPr>
      </c:pivotFmt>
      <c:pivotFmt>
        <c:idx val="48"/>
        <c:spPr>
          <a:solidFill>
            <a:schemeClr val="accent2">
              <a:tint val="56000"/>
            </a:schemeClr>
          </a:solidFill>
          <a:ln w="19050">
            <a:solidFill>
              <a:schemeClr val="lt1"/>
            </a:solidFill>
          </a:ln>
          <a:effectLst/>
        </c:spPr>
      </c:pivotFmt>
      <c:pivotFmt>
        <c:idx val="49"/>
        <c:spPr>
          <a:solidFill>
            <a:schemeClr val="accent2">
              <a:tint val="43000"/>
            </a:schemeClr>
          </a:solidFill>
          <a:ln w="19050">
            <a:solidFill>
              <a:schemeClr val="lt1"/>
            </a:solidFill>
          </a:ln>
          <a:effectLst/>
        </c:spPr>
      </c:pivotFmt>
      <c:pivotFmt>
        <c:idx val="5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2">
              <a:shade val="42000"/>
            </a:schemeClr>
          </a:solidFill>
          <a:ln w="19050">
            <a:solidFill>
              <a:schemeClr val="lt1"/>
            </a:solidFill>
          </a:ln>
          <a:effectLst/>
        </c:spPr>
      </c:pivotFmt>
      <c:pivotFmt>
        <c:idx val="52"/>
        <c:spPr>
          <a:solidFill>
            <a:schemeClr val="accent2">
              <a:shade val="55000"/>
            </a:schemeClr>
          </a:solidFill>
          <a:ln w="19050">
            <a:solidFill>
              <a:schemeClr val="lt1"/>
            </a:solidFill>
          </a:ln>
          <a:effectLst/>
        </c:spPr>
      </c:pivotFmt>
      <c:pivotFmt>
        <c:idx val="53"/>
        <c:spPr>
          <a:solidFill>
            <a:schemeClr val="accent2">
              <a:shade val="68000"/>
            </a:schemeClr>
          </a:solidFill>
          <a:ln w="19050">
            <a:solidFill>
              <a:schemeClr val="lt1"/>
            </a:solidFill>
          </a:ln>
          <a:effectLst/>
        </c:spPr>
      </c:pivotFmt>
      <c:pivotFmt>
        <c:idx val="54"/>
        <c:spPr>
          <a:solidFill>
            <a:schemeClr val="accent2">
              <a:shade val="80000"/>
            </a:schemeClr>
          </a:solidFill>
          <a:ln w="19050">
            <a:solidFill>
              <a:schemeClr val="lt1"/>
            </a:solidFill>
          </a:ln>
          <a:effectLst/>
        </c:spPr>
      </c:pivotFmt>
      <c:pivotFmt>
        <c:idx val="55"/>
        <c:spPr>
          <a:solidFill>
            <a:schemeClr val="accent2">
              <a:shade val="93000"/>
            </a:schemeClr>
          </a:solidFill>
          <a:ln w="19050">
            <a:solidFill>
              <a:schemeClr val="lt1"/>
            </a:solidFill>
          </a:ln>
          <a:effectLst/>
        </c:spPr>
      </c:pivotFmt>
      <c:pivotFmt>
        <c:idx val="56"/>
        <c:spPr>
          <a:solidFill>
            <a:schemeClr val="accent2">
              <a:tint val="94000"/>
            </a:schemeClr>
          </a:solidFill>
          <a:ln w="19050">
            <a:solidFill>
              <a:schemeClr val="lt1"/>
            </a:solidFill>
          </a:ln>
          <a:effectLst/>
        </c:spPr>
      </c:pivotFmt>
      <c:pivotFmt>
        <c:idx val="57"/>
        <c:spPr>
          <a:solidFill>
            <a:schemeClr val="accent2">
              <a:tint val="81000"/>
            </a:schemeClr>
          </a:solidFill>
          <a:ln w="19050">
            <a:solidFill>
              <a:schemeClr val="lt1"/>
            </a:solidFill>
          </a:ln>
          <a:effectLst/>
        </c:spPr>
      </c:pivotFmt>
      <c:pivotFmt>
        <c:idx val="58"/>
        <c:spPr>
          <a:solidFill>
            <a:schemeClr val="accent2">
              <a:tint val="69000"/>
            </a:schemeClr>
          </a:solidFill>
          <a:ln w="19050">
            <a:solidFill>
              <a:schemeClr val="lt1"/>
            </a:solidFill>
          </a:ln>
          <a:effectLst/>
        </c:spPr>
      </c:pivotFmt>
      <c:pivotFmt>
        <c:idx val="59"/>
        <c:spPr>
          <a:solidFill>
            <a:schemeClr val="accent2">
              <a:tint val="56000"/>
            </a:schemeClr>
          </a:solidFill>
          <a:ln w="19050">
            <a:solidFill>
              <a:schemeClr val="lt1"/>
            </a:solidFill>
          </a:ln>
          <a:effectLst/>
        </c:spPr>
      </c:pivotFmt>
      <c:pivotFmt>
        <c:idx val="60"/>
        <c:spPr>
          <a:solidFill>
            <a:schemeClr val="accent2">
              <a:tint val="43000"/>
            </a:schemeClr>
          </a:solidFill>
          <a:ln w="19050">
            <a:solidFill>
              <a:schemeClr val="lt1"/>
            </a:solidFill>
          </a:ln>
          <a:effectLst/>
        </c:spPr>
      </c:pivotFmt>
      <c:pivotFmt>
        <c:idx val="6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2">
              <a:shade val="42000"/>
            </a:schemeClr>
          </a:solidFill>
          <a:ln w="19050">
            <a:solidFill>
              <a:schemeClr val="lt1"/>
            </a:solidFill>
          </a:ln>
          <a:effectLst/>
        </c:spPr>
      </c:pivotFmt>
      <c:pivotFmt>
        <c:idx val="63"/>
        <c:spPr>
          <a:solidFill>
            <a:schemeClr val="accent2">
              <a:shade val="55000"/>
            </a:schemeClr>
          </a:solidFill>
          <a:ln w="19050">
            <a:solidFill>
              <a:schemeClr val="lt1"/>
            </a:solidFill>
          </a:ln>
          <a:effectLst/>
        </c:spPr>
      </c:pivotFmt>
      <c:pivotFmt>
        <c:idx val="64"/>
        <c:spPr>
          <a:solidFill>
            <a:schemeClr val="accent2">
              <a:shade val="68000"/>
            </a:schemeClr>
          </a:solidFill>
          <a:ln w="19050">
            <a:solidFill>
              <a:schemeClr val="lt1"/>
            </a:solidFill>
          </a:ln>
          <a:effectLst/>
        </c:spPr>
      </c:pivotFmt>
      <c:pivotFmt>
        <c:idx val="65"/>
        <c:spPr>
          <a:solidFill>
            <a:schemeClr val="accent2">
              <a:shade val="80000"/>
            </a:schemeClr>
          </a:solidFill>
          <a:ln w="19050">
            <a:solidFill>
              <a:schemeClr val="lt1"/>
            </a:solidFill>
          </a:ln>
          <a:effectLst/>
        </c:spPr>
      </c:pivotFmt>
      <c:pivotFmt>
        <c:idx val="66"/>
        <c:spPr>
          <a:solidFill>
            <a:schemeClr val="accent2">
              <a:shade val="93000"/>
            </a:schemeClr>
          </a:solidFill>
          <a:ln w="19050">
            <a:solidFill>
              <a:schemeClr val="lt1"/>
            </a:solidFill>
          </a:ln>
          <a:effectLst/>
        </c:spPr>
      </c:pivotFmt>
      <c:pivotFmt>
        <c:idx val="67"/>
        <c:spPr>
          <a:solidFill>
            <a:schemeClr val="accent2">
              <a:tint val="94000"/>
            </a:schemeClr>
          </a:solidFill>
          <a:ln w="19050">
            <a:solidFill>
              <a:schemeClr val="lt1"/>
            </a:solidFill>
          </a:ln>
          <a:effectLst/>
        </c:spPr>
      </c:pivotFmt>
      <c:pivotFmt>
        <c:idx val="68"/>
        <c:spPr>
          <a:solidFill>
            <a:schemeClr val="accent2">
              <a:tint val="81000"/>
            </a:schemeClr>
          </a:solidFill>
          <a:ln w="19050">
            <a:solidFill>
              <a:schemeClr val="lt1"/>
            </a:solidFill>
          </a:ln>
          <a:effectLst/>
        </c:spPr>
      </c:pivotFmt>
      <c:pivotFmt>
        <c:idx val="69"/>
        <c:spPr>
          <a:solidFill>
            <a:schemeClr val="accent2">
              <a:tint val="69000"/>
            </a:schemeClr>
          </a:solidFill>
          <a:ln w="19050">
            <a:solidFill>
              <a:schemeClr val="lt1"/>
            </a:solidFill>
          </a:ln>
          <a:effectLst/>
        </c:spPr>
      </c:pivotFmt>
      <c:pivotFmt>
        <c:idx val="70"/>
        <c:spPr>
          <a:solidFill>
            <a:schemeClr val="accent2">
              <a:tint val="56000"/>
            </a:schemeClr>
          </a:solidFill>
          <a:ln w="19050">
            <a:solidFill>
              <a:schemeClr val="lt1"/>
            </a:solidFill>
          </a:ln>
          <a:effectLst/>
        </c:spPr>
      </c:pivotFmt>
      <c:pivotFmt>
        <c:idx val="71"/>
        <c:spPr>
          <a:solidFill>
            <a:schemeClr val="accent2">
              <a:tint val="43000"/>
            </a:schemeClr>
          </a:solidFill>
          <a:ln w="19050">
            <a:solidFill>
              <a:schemeClr val="lt1"/>
            </a:solidFill>
          </a:ln>
          <a:effectLst/>
        </c:spPr>
      </c:pivotFmt>
      <c:pivotFmt>
        <c:idx val="72"/>
        <c:spPr>
          <a:solidFill>
            <a:schemeClr val="accent2"/>
          </a:solidFill>
          <a:ln w="19050">
            <a:solidFill>
              <a:schemeClr val="accent2"/>
            </a:solidFill>
          </a:ln>
          <a:effectLst/>
        </c:spPr>
        <c:marker>
          <c:symbol val="none"/>
        </c:marker>
        <c:dLbl>
          <c:idx val="0"/>
          <c:spPr>
            <a:noFill/>
            <a:ln>
              <a:solidFill>
                <a:srgbClr val="ED7D31">
                  <a:lumMod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3"/>
        <c:spPr>
          <a:solidFill>
            <a:schemeClr val="accent2">
              <a:shade val="42000"/>
            </a:schemeClr>
          </a:solidFill>
          <a:ln w="19050">
            <a:solidFill>
              <a:schemeClr val="accent2"/>
            </a:solidFill>
          </a:ln>
          <a:effectLst/>
        </c:spPr>
      </c:pivotFmt>
      <c:pivotFmt>
        <c:idx val="74"/>
        <c:spPr>
          <a:solidFill>
            <a:schemeClr val="accent2">
              <a:shade val="55000"/>
            </a:schemeClr>
          </a:solidFill>
          <a:ln w="19050">
            <a:solidFill>
              <a:schemeClr val="accent2"/>
            </a:solidFill>
          </a:ln>
          <a:effectLst/>
        </c:spPr>
      </c:pivotFmt>
      <c:pivotFmt>
        <c:idx val="75"/>
        <c:spPr>
          <a:solidFill>
            <a:schemeClr val="accent2">
              <a:shade val="68000"/>
            </a:schemeClr>
          </a:solidFill>
          <a:ln w="19050">
            <a:solidFill>
              <a:schemeClr val="accent2"/>
            </a:solidFill>
          </a:ln>
          <a:effectLst/>
        </c:spPr>
      </c:pivotFmt>
      <c:pivotFmt>
        <c:idx val="76"/>
        <c:spPr>
          <a:solidFill>
            <a:schemeClr val="accent2">
              <a:shade val="80000"/>
            </a:schemeClr>
          </a:solidFill>
          <a:ln w="19050">
            <a:solidFill>
              <a:schemeClr val="accent2"/>
            </a:solidFill>
          </a:ln>
          <a:effectLst/>
        </c:spPr>
        <c:dLbl>
          <c:idx val="0"/>
          <c:layout>
            <c:manualLayout>
              <c:x val="8.5871780402155429E-2"/>
              <c:y val="-3.3208804673917118E-2"/>
            </c:manualLayout>
          </c:layout>
          <c:spPr>
            <a:noFill/>
            <a:ln>
              <a:solidFill>
                <a:srgbClr val="ED7D31">
                  <a:lumMod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7"/>
        <c:spPr>
          <a:solidFill>
            <a:schemeClr val="accent2">
              <a:shade val="93000"/>
            </a:schemeClr>
          </a:solidFill>
          <a:ln w="19050">
            <a:solidFill>
              <a:schemeClr val="accent2"/>
            </a:solidFill>
          </a:ln>
          <a:effectLst/>
        </c:spPr>
        <c:dLbl>
          <c:idx val="0"/>
          <c:layout>
            <c:manualLayout>
              <c:x val="-0.15549754829579515"/>
              <c:y val="-2.6567043739133597E-2"/>
            </c:manualLayout>
          </c:layout>
          <c:spPr>
            <a:noFill/>
            <a:ln>
              <a:solidFill>
                <a:srgbClr val="ED7D31">
                  <a:lumMod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8"/>
        <c:spPr>
          <a:solidFill>
            <a:schemeClr val="accent2">
              <a:tint val="94000"/>
            </a:schemeClr>
          </a:solidFill>
          <a:ln w="19050">
            <a:solidFill>
              <a:schemeClr val="accent2"/>
            </a:solidFill>
          </a:ln>
          <a:effectLst/>
        </c:spPr>
        <c:dLbl>
          <c:idx val="0"/>
          <c:layout>
            <c:manualLayout>
              <c:x val="-0.13228895899791523"/>
              <c:y val="-7.9701131217400911E-2"/>
            </c:manualLayout>
          </c:layout>
          <c:spPr>
            <a:noFill/>
            <a:ln>
              <a:solidFill>
                <a:srgbClr val="ED7D31">
                  <a:lumMod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9"/>
        <c:spPr>
          <a:solidFill>
            <a:schemeClr val="accent2">
              <a:tint val="81000"/>
            </a:schemeClr>
          </a:solidFill>
          <a:ln w="19050">
            <a:solidFill>
              <a:schemeClr val="accent2"/>
            </a:solidFill>
          </a:ln>
          <a:effectLst/>
        </c:spPr>
        <c:dLbl>
          <c:idx val="0"/>
          <c:layout>
            <c:manualLayout>
              <c:x val="-7.8909203612791551E-2"/>
              <c:y val="-0.16272314290219328"/>
            </c:manualLayout>
          </c:layout>
          <c:spPr>
            <a:noFill/>
            <a:ln>
              <a:solidFill>
                <a:srgbClr val="ED7D31">
                  <a:lumMod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0"/>
        <c:spPr>
          <a:solidFill>
            <a:schemeClr val="accent2">
              <a:tint val="69000"/>
            </a:schemeClr>
          </a:solidFill>
          <a:ln w="19050">
            <a:solidFill>
              <a:schemeClr val="accent2"/>
            </a:solidFill>
          </a:ln>
          <a:effectLst/>
        </c:spPr>
        <c:dLbl>
          <c:idx val="0"/>
          <c:layout>
            <c:manualLayout>
              <c:x val="-1.8566871438303895E-2"/>
              <c:y val="-0.12619345776088464"/>
            </c:manualLayout>
          </c:layout>
          <c:spPr>
            <a:noFill/>
            <a:ln>
              <a:solidFill>
                <a:srgbClr val="ED7D31">
                  <a:lumMod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1"/>
        <c:spPr>
          <a:solidFill>
            <a:schemeClr val="accent2">
              <a:tint val="56000"/>
            </a:schemeClr>
          </a:solidFill>
          <a:ln w="19050">
            <a:solidFill>
              <a:schemeClr val="accent2"/>
            </a:solidFill>
          </a:ln>
          <a:effectLst/>
        </c:spPr>
      </c:pivotFmt>
      <c:pivotFmt>
        <c:idx val="82"/>
        <c:spPr>
          <a:solidFill>
            <a:schemeClr val="accent2">
              <a:tint val="43000"/>
            </a:schemeClr>
          </a:solidFill>
          <a:ln w="19050">
            <a:solidFill>
              <a:schemeClr val="accent2"/>
            </a:solidFill>
          </a:ln>
          <a:effectLst/>
        </c:spPr>
      </c:pivotFmt>
      <c:pivotFmt>
        <c:idx val="83"/>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2">
              <a:shade val="42000"/>
            </a:schemeClr>
          </a:solidFill>
          <a:ln w="19050">
            <a:solidFill>
              <a:schemeClr val="lt1"/>
            </a:solidFill>
          </a:ln>
          <a:effectLst/>
        </c:spPr>
      </c:pivotFmt>
      <c:pivotFmt>
        <c:idx val="85"/>
        <c:spPr>
          <a:solidFill>
            <a:schemeClr val="accent2">
              <a:shade val="55000"/>
            </a:schemeClr>
          </a:solidFill>
          <a:ln w="19050">
            <a:solidFill>
              <a:schemeClr val="lt1"/>
            </a:solidFill>
          </a:ln>
          <a:effectLst/>
        </c:spPr>
      </c:pivotFmt>
      <c:pivotFmt>
        <c:idx val="86"/>
        <c:spPr>
          <a:solidFill>
            <a:schemeClr val="accent2">
              <a:shade val="68000"/>
            </a:schemeClr>
          </a:solidFill>
          <a:ln w="19050">
            <a:solidFill>
              <a:schemeClr val="lt1"/>
            </a:solidFill>
          </a:ln>
          <a:effectLst/>
        </c:spPr>
      </c:pivotFmt>
      <c:pivotFmt>
        <c:idx val="87"/>
        <c:spPr>
          <a:solidFill>
            <a:schemeClr val="accent2">
              <a:shade val="80000"/>
            </a:schemeClr>
          </a:solidFill>
          <a:ln w="19050">
            <a:solidFill>
              <a:schemeClr val="lt1"/>
            </a:solidFill>
          </a:ln>
          <a:effectLst/>
        </c:spPr>
      </c:pivotFmt>
      <c:pivotFmt>
        <c:idx val="88"/>
        <c:spPr>
          <a:solidFill>
            <a:schemeClr val="accent2">
              <a:shade val="93000"/>
            </a:schemeClr>
          </a:solidFill>
          <a:ln w="19050">
            <a:solidFill>
              <a:schemeClr val="lt1"/>
            </a:solidFill>
          </a:ln>
          <a:effectLst/>
        </c:spPr>
      </c:pivotFmt>
      <c:pivotFmt>
        <c:idx val="89"/>
        <c:spPr>
          <a:solidFill>
            <a:schemeClr val="accent2">
              <a:tint val="94000"/>
            </a:schemeClr>
          </a:solidFill>
          <a:ln w="19050">
            <a:solidFill>
              <a:schemeClr val="lt1"/>
            </a:solidFill>
          </a:ln>
          <a:effectLst/>
        </c:spPr>
      </c:pivotFmt>
      <c:pivotFmt>
        <c:idx val="90"/>
        <c:spPr>
          <a:solidFill>
            <a:schemeClr val="accent2">
              <a:tint val="81000"/>
            </a:schemeClr>
          </a:solidFill>
          <a:ln w="19050">
            <a:solidFill>
              <a:schemeClr val="lt1"/>
            </a:solidFill>
          </a:ln>
          <a:effectLst/>
        </c:spPr>
      </c:pivotFmt>
      <c:pivotFmt>
        <c:idx val="91"/>
        <c:spPr>
          <a:solidFill>
            <a:schemeClr val="accent2">
              <a:tint val="69000"/>
            </a:schemeClr>
          </a:solidFill>
          <a:ln w="19050">
            <a:solidFill>
              <a:schemeClr val="lt1"/>
            </a:solidFill>
          </a:ln>
          <a:effectLst/>
        </c:spPr>
      </c:pivotFmt>
      <c:pivotFmt>
        <c:idx val="92"/>
        <c:spPr>
          <a:solidFill>
            <a:schemeClr val="accent2">
              <a:tint val="56000"/>
            </a:schemeClr>
          </a:solidFill>
          <a:ln w="19050">
            <a:solidFill>
              <a:schemeClr val="lt1"/>
            </a:solidFill>
          </a:ln>
          <a:effectLst/>
        </c:spPr>
      </c:pivotFmt>
      <c:pivotFmt>
        <c:idx val="93"/>
        <c:spPr>
          <a:solidFill>
            <a:schemeClr val="accent2">
              <a:tint val="43000"/>
            </a:schemeClr>
          </a:solidFill>
          <a:ln w="19050">
            <a:solidFill>
              <a:schemeClr val="lt1"/>
            </a:solidFill>
          </a:ln>
          <a:effectLst/>
        </c:spPr>
      </c:pivotFmt>
      <c:pivotFmt>
        <c:idx val="9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2">
              <a:shade val="42000"/>
            </a:schemeClr>
          </a:solidFill>
          <a:ln w="19050">
            <a:solidFill>
              <a:schemeClr val="lt1"/>
            </a:solidFill>
          </a:ln>
          <a:effectLst/>
        </c:spPr>
      </c:pivotFmt>
      <c:pivotFmt>
        <c:idx val="96"/>
        <c:spPr>
          <a:solidFill>
            <a:schemeClr val="accent2">
              <a:shade val="55000"/>
            </a:schemeClr>
          </a:solidFill>
          <a:ln w="19050">
            <a:solidFill>
              <a:schemeClr val="lt1"/>
            </a:solidFill>
          </a:ln>
          <a:effectLst/>
        </c:spPr>
      </c:pivotFmt>
      <c:pivotFmt>
        <c:idx val="97"/>
        <c:spPr>
          <a:solidFill>
            <a:schemeClr val="accent2">
              <a:shade val="68000"/>
            </a:schemeClr>
          </a:solidFill>
          <a:ln w="19050">
            <a:solidFill>
              <a:schemeClr val="lt1"/>
            </a:solidFill>
          </a:ln>
          <a:effectLst/>
        </c:spPr>
      </c:pivotFmt>
      <c:pivotFmt>
        <c:idx val="98"/>
        <c:spPr>
          <a:solidFill>
            <a:schemeClr val="accent2">
              <a:shade val="80000"/>
            </a:schemeClr>
          </a:solidFill>
          <a:ln w="19050">
            <a:solidFill>
              <a:schemeClr val="lt1"/>
            </a:solidFill>
          </a:ln>
          <a:effectLst/>
        </c:spPr>
      </c:pivotFmt>
      <c:pivotFmt>
        <c:idx val="99"/>
        <c:spPr>
          <a:solidFill>
            <a:schemeClr val="accent2">
              <a:shade val="93000"/>
            </a:schemeClr>
          </a:solidFill>
          <a:ln w="19050">
            <a:solidFill>
              <a:schemeClr val="lt1"/>
            </a:solidFill>
          </a:ln>
          <a:effectLst/>
        </c:spPr>
      </c:pivotFmt>
      <c:pivotFmt>
        <c:idx val="100"/>
        <c:spPr>
          <a:solidFill>
            <a:schemeClr val="accent2">
              <a:tint val="94000"/>
            </a:schemeClr>
          </a:solidFill>
          <a:ln w="19050">
            <a:solidFill>
              <a:schemeClr val="lt1"/>
            </a:solidFill>
          </a:ln>
          <a:effectLst/>
        </c:spPr>
      </c:pivotFmt>
      <c:pivotFmt>
        <c:idx val="101"/>
        <c:spPr>
          <a:solidFill>
            <a:schemeClr val="accent2">
              <a:tint val="81000"/>
            </a:schemeClr>
          </a:solidFill>
          <a:ln w="19050">
            <a:solidFill>
              <a:schemeClr val="lt1"/>
            </a:solidFill>
          </a:ln>
          <a:effectLst/>
        </c:spPr>
      </c:pivotFmt>
      <c:pivotFmt>
        <c:idx val="102"/>
        <c:spPr>
          <a:solidFill>
            <a:schemeClr val="accent2">
              <a:tint val="69000"/>
            </a:schemeClr>
          </a:solidFill>
          <a:ln w="19050">
            <a:solidFill>
              <a:schemeClr val="lt1"/>
            </a:solidFill>
          </a:ln>
          <a:effectLst/>
        </c:spPr>
      </c:pivotFmt>
      <c:pivotFmt>
        <c:idx val="103"/>
        <c:spPr>
          <a:solidFill>
            <a:schemeClr val="accent2">
              <a:tint val="56000"/>
            </a:schemeClr>
          </a:solidFill>
          <a:ln w="19050">
            <a:solidFill>
              <a:schemeClr val="lt1"/>
            </a:solidFill>
          </a:ln>
          <a:effectLst/>
        </c:spPr>
      </c:pivotFmt>
      <c:pivotFmt>
        <c:idx val="104"/>
        <c:spPr>
          <a:solidFill>
            <a:schemeClr val="accent2">
              <a:tint val="43000"/>
            </a:schemeClr>
          </a:solidFill>
          <a:ln w="19050">
            <a:solidFill>
              <a:schemeClr val="lt1"/>
            </a:solidFill>
          </a:ln>
          <a:effectLst/>
        </c:spPr>
      </c:pivotFmt>
      <c:pivotFmt>
        <c:idx val="105"/>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2">
              <a:shade val="42000"/>
            </a:schemeClr>
          </a:solidFill>
          <a:ln w="19050">
            <a:solidFill>
              <a:schemeClr val="lt1"/>
            </a:solidFill>
          </a:ln>
          <a:effectLst/>
        </c:spPr>
      </c:pivotFmt>
      <c:pivotFmt>
        <c:idx val="107"/>
        <c:spPr>
          <a:solidFill>
            <a:schemeClr val="accent2">
              <a:shade val="55000"/>
            </a:schemeClr>
          </a:solidFill>
          <a:ln w="19050">
            <a:solidFill>
              <a:schemeClr val="lt1"/>
            </a:solidFill>
          </a:ln>
          <a:effectLst/>
        </c:spPr>
      </c:pivotFmt>
      <c:pivotFmt>
        <c:idx val="108"/>
        <c:spPr>
          <a:solidFill>
            <a:schemeClr val="accent2">
              <a:shade val="68000"/>
            </a:schemeClr>
          </a:solidFill>
          <a:ln w="19050">
            <a:solidFill>
              <a:schemeClr val="lt1"/>
            </a:solidFill>
          </a:ln>
          <a:effectLst/>
        </c:spPr>
      </c:pivotFmt>
      <c:pivotFmt>
        <c:idx val="109"/>
        <c:spPr>
          <a:solidFill>
            <a:schemeClr val="accent2">
              <a:shade val="80000"/>
            </a:schemeClr>
          </a:solidFill>
          <a:ln w="19050">
            <a:solidFill>
              <a:schemeClr val="lt1"/>
            </a:solidFill>
          </a:ln>
          <a:effectLst/>
        </c:spPr>
      </c:pivotFmt>
      <c:pivotFmt>
        <c:idx val="110"/>
        <c:spPr>
          <a:solidFill>
            <a:schemeClr val="accent2">
              <a:shade val="93000"/>
            </a:schemeClr>
          </a:solidFill>
          <a:ln w="19050">
            <a:solidFill>
              <a:schemeClr val="lt1"/>
            </a:solidFill>
          </a:ln>
          <a:effectLst/>
        </c:spPr>
      </c:pivotFmt>
      <c:pivotFmt>
        <c:idx val="111"/>
        <c:spPr>
          <a:solidFill>
            <a:schemeClr val="accent2">
              <a:tint val="94000"/>
            </a:schemeClr>
          </a:solidFill>
          <a:ln w="19050">
            <a:solidFill>
              <a:schemeClr val="lt1"/>
            </a:solidFill>
          </a:ln>
          <a:effectLst/>
        </c:spPr>
      </c:pivotFmt>
      <c:pivotFmt>
        <c:idx val="112"/>
        <c:spPr>
          <a:solidFill>
            <a:schemeClr val="accent2">
              <a:tint val="81000"/>
            </a:schemeClr>
          </a:solidFill>
          <a:ln w="19050">
            <a:solidFill>
              <a:schemeClr val="lt1"/>
            </a:solidFill>
          </a:ln>
          <a:effectLst/>
        </c:spPr>
      </c:pivotFmt>
      <c:pivotFmt>
        <c:idx val="113"/>
        <c:spPr>
          <a:solidFill>
            <a:schemeClr val="accent2">
              <a:tint val="69000"/>
            </a:schemeClr>
          </a:solidFill>
          <a:ln w="19050">
            <a:solidFill>
              <a:schemeClr val="lt1"/>
            </a:solidFill>
          </a:ln>
          <a:effectLst/>
        </c:spPr>
      </c:pivotFmt>
      <c:pivotFmt>
        <c:idx val="114"/>
        <c:spPr>
          <a:solidFill>
            <a:schemeClr val="accent2">
              <a:tint val="56000"/>
            </a:schemeClr>
          </a:solidFill>
          <a:ln w="19050">
            <a:solidFill>
              <a:schemeClr val="lt1"/>
            </a:solidFill>
          </a:ln>
          <a:effectLst/>
        </c:spPr>
      </c:pivotFmt>
      <c:pivotFmt>
        <c:idx val="115"/>
        <c:spPr>
          <a:solidFill>
            <a:schemeClr val="accent2">
              <a:tint val="43000"/>
            </a:schemeClr>
          </a:solidFill>
          <a:ln w="19050">
            <a:solidFill>
              <a:schemeClr val="lt1"/>
            </a:solidFill>
          </a:ln>
          <a:effectLst/>
        </c:spPr>
      </c:pivotFmt>
      <c:pivotFmt>
        <c:idx val="116"/>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2">
              <a:shade val="42000"/>
            </a:schemeClr>
          </a:solidFill>
          <a:ln w="19050">
            <a:solidFill>
              <a:schemeClr val="lt1"/>
            </a:solidFill>
          </a:ln>
          <a:effectLst/>
        </c:spPr>
      </c:pivotFmt>
      <c:pivotFmt>
        <c:idx val="118"/>
        <c:spPr>
          <a:solidFill>
            <a:schemeClr val="accent2">
              <a:shade val="55000"/>
            </a:schemeClr>
          </a:solidFill>
          <a:ln w="19050">
            <a:solidFill>
              <a:schemeClr val="lt1"/>
            </a:solidFill>
          </a:ln>
          <a:effectLst/>
        </c:spPr>
      </c:pivotFmt>
      <c:pivotFmt>
        <c:idx val="119"/>
        <c:spPr>
          <a:solidFill>
            <a:schemeClr val="accent2">
              <a:shade val="68000"/>
            </a:schemeClr>
          </a:solidFill>
          <a:ln w="19050">
            <a:solidFill>
              <a:schemeClr val="lt1"/>
            </a:solidFill>
          </a:ln>
          <a:effectLst/>
        </c:spPr>
      </c:pivotFmt>
      <c:pivotFmt>
        <c:idx val="120"/>
        <c:spPr>
          <a:solidFill>
            <a:schemeClr val="accent2">
              <a:shade val="80000"/>
            </a:schemeClr>
          </a:solidFill>
          <a:ln w="19050">
            <a:solidFill>
              <a:schemeClr val="lt1"/>
            </a:solidFill>
          </a:ln>
          <a:effectLst/>
        </c:spPr>
      </c:pivotFmt>
      <c:pivotFmt>
        <c:idx val="121"/>
        <c:spPr>
          <a:solidFill>
            <a:schemeClr val="accent2">
              <a:shade val="93000"/>
            </a:schemeClr>
          </a:solidFill>
          <a:ln w="19050">
            <a:solidFill>
              <a:schemeClr val="lt1"/>
            </a:solidFill>
          </a:ln>
          <a:effectLst/>
        </c:spPr>
      </c:pivotFmt>
      <c:pivotFmt>
        <c:idx val="122"/>
        <c:spPr>
          <a:solidFill>
            <a:schemeClr val="accent2">
              <a:tint val="94000"/>
            </a:schemeClr>
          </a:solidFill>
          <a:ln w="19050">
            <a:solidFill>
              <a:schemeClr val="lt1"/>
            </a:solidFill>
          </a:ln>
          <a:effectLst/>
        </c:spPr>
      </c:pivotFmt>
      <c:pivotFmt>
        <c:idx val="123"/>
        <c:spPr>
          <a:solidFill>
            <a:schemeClr val="accent2">
              <a:tint val="81000"/>
            </a:schemeClr>
          </a:solidFill>
          <a:ln w="19050">
            <a:solidFill>
              <a:schemeClr val="lt1"/>
            </a:solidFill>
          </a:ln>
          <a:effectLst/>
        </c:spPr>
      </c:pivotFmt>
      <c:pivotFmt>
        <c:idx val="124"/>
        <c:spPr>
          <a:solidFill>
            <a:schemeClr val="accent2">
              <a:tint val="69000"/>
            </a:schemeClr>
          </a:solidFill>
          <a:ln w="19050">
            <a:solidFill>
              <a:schemeClr val="lt1"/>
            </a:solidFill>
          </a:ln>
          <a:effectLst/>
        </c:spPr>
      </c:pivotFmt>
      <c:pivotFmt>
        <c:idx val="125"/>
        <c:spPr>
          <a:solidFill>
            <a:schemeClr val="accent2">
              <a:tint val="56000"/>
            </a:schemeClr>
          </a:solidFill>
          <a:ln w="19050">
            <a:solidFill>
              <a:schemeClr val="lt1"/>
            </a:solidFill>
          </a:ln>
          <a:effectLst/>
        </c:spPr>
      </c:pivotFmt>
      <c:pivotFmt>
        <c:idx val="126"/>
        <c:spPr>
          <a:solidFill>
            <a:schemeClr val="accent2">
              <a:tint val="43000"/>
            </a:schemeClr>
          </a:solidFill>
          <a:ln w="19050">
            <a:solidFill>
              <a:schemeClr val="lt1"/>
            </a:solidFill>
          </a:ln>
          <a:effectLst/>
        </c:spPr>
      </c:pivotFmt>
      <c:pivotFmt>
        <c:idx val="127"/>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2">
              <a:shade val="42000"/>
            </a:schemeClr>
          </a:solidFill>
          <a:ln w="19050">
            <a:solidFill>
              <a:schemeClr val="lt1"/>
            </a:solidFill>
          </a:ln>
          <a:effectLst/>
        </c:spPr>
      </c:pivotFmt>
      <c:pivotFmt>
        <c:idx val="129"/>
        <c:spPr>
          <a:solidFill>
            <a:schemeClr val="accent2">
              <a:shade val="55000"/>
            </a:schemeClr>
          </a:solidFill>
          <a:ln w="19050">
            <a:solidFill>
              <a:schemeClr val="lt1"/>
            </a:solidFill>
          </a:ln>
          <a:effectLst/>
        </c:spPr>
      </c:pivotFmt>
      <c:pivotFmt>
        <c:idx val="130"/>
        <c:spPr>
          <a:solidFill>
            <a:schemeClr val="accent2">
              <a:shade val="68000"/>
            </a:schemeClr>
          </a:solidFill>
          <a:ln w="19050">
            <a:solidFill>
              <a:schemeClr val="lt1"/>
            </a:solidFill>
          </a:ln>
          <a:effectLst/>
        </c:spPr>
      </c:pivotFmt>
      <c:pivotFmt>
        <c:idx val="131"/>
        <c:spPr>
          <a:solidFill>
            <a:schemeClr val="accent2">
              <a:shade val="80000"/>
            </a:schemeClr>
          </a:solidFill>
          <a:ln w="19050">
            <a:solidFill>
              <a:schemeClr val="lt1"/>
            </a:solidFill>
          </a:ln>
          <a:effectLst/>
        </c:spPr>
      </c:pivotFmt>
      <c:pivotFmt>
        <c:idx val="132"/>
        <c:spPr>
          <a:solidFill>
            <a:schemeClr val="accent2">
              <a:shade val="93000"/>
            </a:schemeClr>
          </a:solidFill>
          <a:ln w="19050">
            <a:solidFill>
              <a:schemeClr val="lt1"/>
            </a:solidFill>
          </a:ln>
          <a:effectLst/>
        </c:spPr>
      </c:pivotFmt>
      <c:pivotFmt>
        <c:idx val="133"/>
        <c:spPr>
          <a:solidFill>
            <a:schemeClr val="accent2">
              <a:tint val="94000"/>
            </a:schemeClr>
          </a:solidFill>
          <a:ln w="19050">
            <a:solidFill>
              <a:schemeClr val="lt1"/>
            </a:solidFill>
          </a:ln>
          <a:effectLst/>
        </c:spPr>
      </c:pivotFmt>
      <c:pivotFmt>
        <c:idx val="134"/>
        <c:spPr>
          <a:solidFill>
            <a:schemeClr val="accent2">
              <a:tint val="81000"/>
            </a:schemeClr>
          </a:solidFill>
          <a:ln w="19050">
            <a:solidFill>
              <a:schemeClr val="lt1"/>
            </a:solidFill>
          </a:ln>
          <a:effectLst/>
        </c:spPr>
      </c:pivotFmt>
      <c:pivotFmt>
        <c:idx val="135"/>
        <c:spPr>
          <a:solidFill>
            <a:schemeClr val="accent2">
              <a:tint val="69000"/>
            </a:schemeClr>
          </a:solidFill>
          <a:ln w="19050">
            <a:solidFill>
              <a:schemeClr val="lt1"/>
            </a:solidFill>
          </a:ln>
          <a:effectLst/>
        </c:spPr>
      </c:pivotFmt>
      <c:pivotFmt>
        <c:idx val="136"/>
        <c:spPr>
          <a:solidFill>
            <a:schemeClr val="accent2">
              <a:tint val="56000"/>
            </a:schemeClr>
          </a:solidFill>
          <a:ln w="19050">
            <a:solidFill>
              <a:schemeClr val="lt1"/>
            </a:solidFill>
          </a:ln>
          <a:effectLst/>
        </c:spPr>
      </c:pivotFmt>
      <c:pivotFmt>
        <c:idx val="137"/>
        <c:spPr>
          <a:solidFill>
            <a:schemeClr val="accent2">
              <a:tint val="43000"/>
            </a:schemeClr>
          </a:solidFill>
          <a:ln w="19050">
            <a:solidFill>
              <a:schemeClr val="lt1"/>
            </a:solidFill>
          </a:ln>
          <a:effectLst/>
        </c:spPr>
      </c:pivotFmt>
    </c:pivotFmts>
    <c:plotArea>
      <c:layout/>
      <c:pieChart>
        <c:varyColors val="1"/>
        <c:ser>
          <c:idx val="0"/>
          <c:order val="0"/>
          <c:tx>
            <c:strRef>
              <c:f>'Pivot Tables'!$AW$3:$AW$4</c:f>
              <c:strCache>
                <c:ptCount val="1"/>
                <c:pt idx="0">
                  <c:v>Australia</c:v>
                </c:pt>
              </c:strCache>
            </c:strRef>
          </c:tx>
          <c:spPr>
            <a:ln>
              <a:solidFill>
                <a:schemeClr val="accent2"/>
              </a:solidFill>
            </a:ln>
          </c:spPr>
          <c:dPt>
            <c:idx val="0"/>
            <c:bubble3D val="0"/>
            <c:spPr>
              <a:solidFill>
                <a:schemeClr val="accent2">
                  <a:shade val="42000"/>
                </a:schemeClr>
              </a:solidFill>
              <a:ln w="19050">
                <a:solidFill>
                  <a:schemeClr val="accent2"/>
                </a:solidFill>
              </a:ln>
              <a:effectLst/>
            </c:spPr>
            <c:extLst>
              <c:ext xmlns:c16="http://schemas.microsoft.com/office/drawing/2014/chart" uri="{C3380CC4-5D6E-409C-BE32-E72D297353CC}">
                <c16:uniqueId val="{00000001-4BF6-4234-9F41-A9E5BD6593A3}"/>
              </c:ext>
            </c:extLst>
          </c:dPt>
          <c:dPt>
            <c:idx val="1"/>
            <c:bubble3D val="0"/>
            <c:spPr>
              <a:solidFill>
                <a:schemeClr val="accent2">
                  <a:shade val="55000"/>
                </a:schemeClr>
              </a:solidFill>
              <a:ln w="19050">
                <a:solidFill>
                  <a:schemeClr val="accent2"/>
                </a:solidFill>
              </a:ln>
              <a:effectLst/>
            </c:spPr>
            <c:extLst>
              <c:ext xmlns:c16="http://schemas.microsoft.com/office/drawing/2014/chart" uri="{C3380CC4-5D6E-409C-BE32-E72D297353CC}">
                <c16:uniqueId val="{00000003-4BF6-4234-9F41-A9E5BD6593A3}"/>
              </c:ext>
            </c:extLst>
          </c:dPt>
          <c:dPt>
            <c:idx val="2"/>
            <c:bubble3D val="0"/>
            <c:spPr>
              <a:solidFill>
                <a:schemeClr val="accent2">
                  <a:shade val="68000"/>
                </a:schemeClr>
              </a:solidFill>
              <a:ln w="19050">
                <a:solidFill>
                  <a:schemeClr val="accent2"/>
                </a:solidFill>
              </a:ln>
              <a:effectLst/>
            </c:spPr>
            <c:extLst>
              <c:ext xmlns:c16="http://schemas.microsoft.com/office/drawing/2014/chart" uri="{C3380CC4-5D6E-409C-BE32-E72D297353CC}">
                <c16:uniqueId val="{00000005-4BF6-4234-9F41-A9E5BD6593A3}"/>
              </c:ext>
            </c:extLst>
          </c:dPt>
          <c:dPt>
            <c:idx val="3"/>
            <c:bubble3D val="0"/>
            <c:spPr>
              <a:solidFill>
                <a:schemeClr val="accent2">
                  <a:shade val="80000"/>
                </a:schemeClr>
              </a:solidFill>
              <a:ln w="19050">
                <a:solidFill>
                  <a:schemeClr val="accent2"/>
                </a:solidFill>
              </a:ln>
              <a:effectLst/>
            </c:spPr>
            <c:extLst>
              <c:ext xmlns:c16="http://schemas.microsoft.com/office/drawing/2014/chart" uri="{C3380CC4-5D6E-409C-BE32-E72D297353CC}">
                <c16:uniqueId val="{00000007-4BF6-4234-9F41-A9E5BD6593A3}"/>
              </c:ext>
            </c:extLst>
          </c:dPt>
          <c:dPt>
            <c:idx val="4"/>
            <c:bubble3D val="0"/>
            <c:spPr>
              <a:solidFill>
                <a:schemeClr val="accent2">
                  <a:shade val="93000"/>
                </a:schemeClr>
              </a:solidFill>
              <a:ln w="19050">
                <a:solidFill>
                  <a:schemeClr val="accent2"/>
                </a:solidFill>
              </a:ln>
              <a:effectLst/>
            </c:spPr>
            <c:extLst>
              <c:ext xmlns:c16="http://schemas.microsoft.com/office/drawing/2014/chart" uri="{C3380CC4-5D6E-409C-BE32-E72D297353CC}">
                <c16:uniqueId val="{00000009-4BF6-4234-9F41-A9E5BD6593A3}"/>
              </c:ext>
            </c:extLst>
          </c:dPt>
          <c:dPt>
            <c:idx val="5"/>
            <c:bubble3D val="0"/>
            <c:spPr>
              <a:solidFill>
                <a:schemeClr val="accent2">
                  <a:tint val="94000"/>
                </a:schemeClr>
              </a:solidFill>
              <a:ln w="19050">
                <a:solidFill>
                  <a:schemeClr val="accent2"/>
                </a:solidFill>
              </a:ln>
              <a:effectLst/>
            </c:spPr>
            <c:extLst>
              <c:ext xmlns:c16="http://schemas.microsoft.com/office/drawing/2014/chart" uri="{C3380CC4-5D6E-409C-BE32-E72D297353CC}">
                <c16:uniqueId val="{0000000B-4BF6-4234-9F41-A9E5BD6593A3}"/>
              </c:ext>
            </c:extLst>
          </c:dPt>
          <c:dPt>
            <c:idx val="6"/>
            <c:bubble3D val="0"/>
            <c:spPr>
              <a:solidFill>
                <a:schemeClr val="accent2">
                  <a:tint val="81000"/>
                </a:schemeClr>
              </a:solidFill>
              <a:ln w="19050">
                <a:solidFill>
                  <a:schemeClr val="accent2"/>
                </a:solidFill>
              </a:ln>
              <a:effectLst/>
            </c:spPr>
            <c:extLst>
              <c:ext xmlns:c16="http://schemas.microsoft.com/office/drawing/2014/chart" uri="{C3380CC4-5D6E-409C-BE32-E72D297353CC}">
                <c16:uniqueId val="{0000000D-4BF6-4234-9F41-A9E5BD6593A3}"/>
              </c:ext>
            </c:extLst>
          </c:dPt>
          <c:dPt>
            <c:idx val="7"/>
            <c:bubble3D val="0"/>
            <c:spPr>
              <a:solidFill>
                <a:schemeClr val="accent2">
                  <a:tint val="69000"/>
                </a:schemeClr>
              </a:solidFill>
              <a:ln w="19050">
                <a:solidFill>
                  <a:schemeClr val="accent2"/>
                </a:solidFill>
              </a:ln>
              <a:effectLst/>
            </c:spPr>
            <c:extLst>
              <c:ext xmlns:c16="http://schemas.microsoft.com/office/drawing/2014/chart" uri="{C3380CC4-5D6E-409C-BE32-E72D297353CC}">
                <c16:uniqueId val="{0000000F-4BF6-4234-9F41-A9E5BD6593A3}"/>
              </c:ext>
            </c:extLst>
          </c:dPt>
          <c:dPt>
            <c:idx val="8"/>
            <c:bubble3D val="0"/>
            <c:spPr>
              <a:solidFill>
                <a:schemeClr val="accent2">
                  <a:tint val="56000"/>
                </a:schemeClr>
              </a:solidFill>
              <a:ln w="19050">
                <a:solidFill>
                  <a:schemeClr val="accent2"/>
                </a:solidFill>
              </a:ln>
              <a:effectLst/>
            </c:spPr>
            <c:extLst>
              <c:ext xmlns:c16="http://schemas.microsoft.com/office/drawing/2014/chart" uri="{C3380CC4-5D6E-409C-BE32-E72D297353CC}">
                <c16:uniqueId val="{00000011-4BF6-4234-9F41-A9E5BD6593A3}"/>
              </c:ext>
            </c:extLst>
          </c:dPt>
          <c:dPt>
            <c:idx val="9"/>
            <c:bubble3D val="0"/>
            <c:spPr>
              <a:solidFill>
                <a:schemeClr val="accent2">
                  <a:tint val="43000"/>
                </a:schemeClr>
              </a:solidFill>
              <a:ln w="19050">
                <a:solidFill>
                  <a:schemeClr val="accent2"/>
                </a:solidFill>
              </a:ln>
              <a:effectLst/>
            </c:spPr>
            <c:extLst>
              <c:ext xmlns:c16="http://schemas.microsoft.com/office/drawing/2014/chart" uri="{C3380CC4-5D6E-409C-BE32-E72D297353CC}">
                <c16:uniqueId val="{00000013-4BF6-4234-9F41-A9E5BD6593A3}"/>
              </c:ext>
            </c:extLst>
          </c:dPt>
          <c:dLbls>
            <c:dLbl>
              <c:idx val="3"/>
              <c:layout>
                <c:manualLayout>
                  <c:x val="8.5871780402155429E-2"/>
                  <c:y val="-3.320880467391711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4BF6-4234-9F41-A9E5BD6593A3}"/>
                </c:ext>
              </c:extLst>
            </c:dLbl>
            <c:dLbl>
              <c:idx val="4"/>
              <c:layout>
                <c:manualLayout>
                  <c:x val="-0.15549754829579515"/>
                  <c:y val="-2.656704373913359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4BF6-4234-9F41-A9E5BD6593A3}"/>
                </c:ext>
              </c:extLst>
            </c:dLbl>
            <c:dLbl>
              <c:idx val="5"/>
              <c:layout>
                <c:manualLayout>
                  <c:x val="-0.13228895899791523"/>
                  <c:y val="-7.9701131217400911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4BF6-4234-9F41-A9E5BD6593A3}"/>
                </c:ext>
              </c:extLst>
            </c:dLbl>
            <c:dLbl>
              <c:idx val="6"/>
              <c:layout>
                <c:manualLayout>
                  <c:x val="-7.8909203612791551E-2"/>
                  <c:y val="-0.16272314290219328"/>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4BF6-4234-9F41-A9E5BD6593A3}"/>
                </c:ext>
              </c:extLst>
            </c:dLbl>
            <c:dLbl>
              <c:idx val="7"/>
              <c:layout>
                <c:manualLayout>
                  <c:x val="-1.8566871438303895E-2"/>
                  <c:y val="-0.12619345776088464"/>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F-4BF6-4234-9F41-A9E5BD6593A3}"/>
                </c:ext>
              </c:extLst>
            </c:dLbl>
            <c:spPr>
              <a:noFill/>
              <a:ln>
                <a:solidFill>
                  <a:srgbClr val="ED7D31">
                    <a:lumMod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Tables'!$AV$5:$AV$15</c:f>
              <c:strCache>
                <c:ptCount val="10"/>
                <c:pt idx="0">
                  <c:v>85% Dark Bars</c:v>
                </c:pt>
                <c:pt idx="1">
                  <c:v>After Nines</c:v>
                </c:pt>
                <c:pt idx="2">
                  <c:v>Baker's Choco Chips</c:v>
                </c:pt>
                <c:pt idx="3">
                  <c:v>Choco Coated Almonds</c:v>
                </c:pt>
                <c:pt idx="4">
                  <c:v>Eclairs</c:v>
                </c:pt>
                <c:pt idx="5">
                  <c:v>Fruit &amp; Nut Bars</c:v>
                </c:pt>
                <c:pt idx="6">
                  <c:v>Manuka Honey Choco</c:v>
                </c:pt>
                <c:pt idx="7">
                  <c:v>Mint Chip Choco</c:v>
                </c:pt>
                <c:pt idx="8">
                  <c:v>Raspberry Choco</c:v>
                </c:pt>
                <c:pt idx="9">
                  <c:v>White Choc</c:v>
                </c:pt>
              </c:strCache>
            </c:strRef>
          </c:cat>
          <c:val>
            <c:numRef>
              <c:f>'Pivot Tables'!$AW$5:$AW$15</c:f>
              <c:numCache>
                <c:formatCode>0.00</c:formatCode>
                <c:ptCount val="10"/>
                <c:pt idx="0">
                  <c:v>1.5218676074776001</c:v>
                </c:pt>
                <c:pt idx="1">
                  <c:v>1.3701538998242295</c:v>
                </c:pt>
                <c:pt idx="2">
                  <c:v>1.7809597915667208</c:v>
                </c:pt>
                <c:pt idx="3">
                  <c:v>1.4731997647231823</c:v>
                </c:pt>
                <c:pt idx="4">
                  <c:v>0.98837209302325579</c:v>
                </c:pt>
                <c:pt idx="5">
                  <c:v>0.88218266313001292</c:v>
                </c:pt>
                <c:pt idx="6">
                  <c:v>0.8732782369146006</c:v>
                </c:pt>
                <c:pt idx="7">
                  <c:v>1.5447817601335725</c:v>
                </c:pt>
                <c:pt idx="9">
                  <c:v>2.107010918044169</c:v>
                </c:pt>
              </c:numCache>
            </c:numRef>
          </c:val>
          <c:extLst>
            <c:ext xmlns:c16="http://schemas.microsoft.com/office/drawing/2014/chart" uri="{C3380CC4-5D6E-409C-BE32-E72D297353CC}">
              <c16:uniqueId val="{00000014-4BF6-4234-9F41-A9E5BD6593A3}"/>
            </c:ext>
          </c:extLst>
        </c:ser>
        <c:ser>
          <c:idx val="1"/>
          <c:order val="1"/>
          <c:tx>
            <c:strRef>
              <c:f>'Pivot Tables'!$AX$3:$AX$4</c:f>
              <c:strCache>
                <c:ptCount val="1"/>
                <c:pt idx="0">
                  <c:v>Canada</c:v>
                </c:pt>
              </c:strCache>
            </c:strRef>
          </c:tx>
          <c:dPt>
            <c:idx val="0"/>
            <c:bubble3D val="0"/>
            <c:spPr>
              <a:solidFill>
                <a:schemeClr val="accent2">
                  <a:shade val="42000"/>
                </a:schemeClr>
              </a:solidFill>
              <a:ln w="19050">
                <a:solidFill>
                  <a:schemeClr val="lt1"/>
                </a:solidFill>
              </a:ln>
              <a:effectLst/>
            </c:spPr>
            <c:extLst>
              <c:ext xmlns:c16="http://schemas.microsoft.com/office/drawing/2014/chart" uri="{C3380CC4-5D6E-409C-BE32-E72D297353CC}">
                <c16:uniqueId val="{00000016-4BF6-4234-9F41-A9E5BD6593A3}"/>
              </c:ext>
            </c:extLst>
          </c:dPt>
          <c:dPt>
            <c:idx val="1"/>
            <c:bubble3D val="0"/>
            <c:spPr>
              <a:solidFill>
                <a:schemeClr val="accent2">
                  <a:shade val="55000"/>
                </a:schemeClr>
              </a:solidFill>
              <a:ln w="19050">
                <a:solidFill>
                  <a:schemeClr val="lt1"/>
                </a:solidFill>
              </a:ln>
              <a:effectLst/>
            </c:spPr>
            <c:extLst>
              <c:ext xmlns:c16="http://schemas.microsoft.com/office/drawing/2014/chart" uri="{C3380CC4-5D6E-409C-BE32-E72D297353CC}">
                <c16:uniqueId val="{00000018-4BF6-4234-9F41-A9E5BD6593A3}"/>
              </c:ext>
            </c:extLst>
          </c:dPt>
          <c:dPt>
            <c:idx val="2"/>
            <c:bubble3D val="0"/>
            <c:spPr>
              <a:solidFill>
                <a:schemeClr val="accent2">
                  <a:shade val="68000"/>
                </a:schemeClr>
              </a:solidFill>
              <a:ln w="19050">
                <a:solidFill>
                  <a:schemeClr val="lt1"/>
                </a:solidFill>
              </a:ln>
              <a:effectLst/>
            </c:spPr>
            <c:extLst>
              <c:ext xmlns:c16="http://schemas.microsoft.com/office/drawing/2014/chart" uri="{C3380CC4-5D6E-409C-BE32-E72D297353CC}">
                <c16:uniqueId val="{0000001A-4BF6-4234-9F41-A9E5BD6593A3}"/>
              </c:ext>
            </c:extLst>
          </c:dPt>
          <c:dPt>
            <c:idx val="3"/>
            <c:bubble3D val="0"/>
            <c:spPr>
              <a:solidFill>
                <a:schemeClr val="accent2">
                  <a:shade val="80000"/>
                </a:schemeClr>
              </a:solidFill>
              <a:ln w="19050">
                <a:solidFill>
                  <a:schemeClr val="lt1"/>
                </a:solidFill>
              </a:ln>
              <a:effectLst/>
            </c:spPr>
            <c:extLst>
              <c:ext xmlns:c16="http://schemas.microsoft.com/office/drawing/2014/chart" uri="{C3380CC4-5D6E-409C-BE32-E72D297353CC}">
                <c16:uniqueId val="{0000001C-4BF6-4234-9F41-A9E5BD6593A3}"/>
              </c:ext>
            </c:extLst>
          </c:dPt>
          <c:dPt>
            <c:idx val="4"/>
            <c:bubble3D val="0"/>
            <c:spPr>
              <a:solidFill>
                <a:schemeClr val="accent2">
                  <a:shade val="93000"/>
                </a:schemeClr>
              </a:solidFill>
              <a:ln w="19050">
                <a:solidFill>
                  <a:schemeClr val="lt1"/>
                </a:solidFill>
              </a:ln>
              <a:effectLst/>
            </c:spPr>
            <c:extLst>
              <c:ext xmlns:c16="http://schemas.microsoft.com/office/drawing/2014/chart" uri="{C3380CC4-5D6E-409C-BE32-E72D297353CC}">
                <c16:uniqueId val="{0000001E-4BF6-4234-9F41-A9E5BD6593A3}"/>
              </c:ext>
            </c:extLst>
          </c:dPt>
          <c:dPt>
            <c:idx val="5"/>
            <c:bubble3D val="0"/>
            <c:spPr>
              <a:solidFill>
                <a:schemeClr val="accent2">
                  <a:tint val="94000"/>
                </a:schemeClr>
              </a:solidFill>
              <a:ln w="19050">
                <a:solidFill>
                  <a:schemeClr val="lt1"/>
                </a:solidFill>
              </a:ln>
              <a:effectLst/>
            </c:spPr>
            <c:extLst>
              <c:ext xmlns:c16="http://schemas.microsoft.com/office/drawing/2014/chart" uri="{C3380CC4-5D6E-409C-BE32-E72D297353CC}">
                <c16:uniqueId val="{00000020-4BF6-4234-9F41-A9E5BD6593A3}"/>
              </c:ext>
            </c:extLst>
          </c:dPt>
          <c:dPt>
            <c:idx val="6"/>
            <c:bubble3D val="0"/>
            <c:spPr>
              <a:solidFill>
                <a:schemeClr val="accent2">
                  <a:tint val="81000"/>
                </a:schemeClr>
              </a:solidFill>
              <a:ln w="19050">
                <a:solidFill>
                  <a:schemeClr val="lt1"/>
                </a:solidFill>
              </a:ln>
              <a:effectLst/>
            </c:spPr>
            <c:extLst>
              <c:ext xmlns:c16="http://schemas.microsoft.com/office/drawing/2014/chart" uri="{C3380CC4-5D6E-409C-BE32-E72D297353CC}">
                <c16:uniqueId val="{00000022-4BF6-4234-9F41-A9E5BD6593A3}"/>
              </c:ext>
            </c:extLst>
          </c:dPt>
          <c:dPt>
            <c:idx val="7"/>
            <c:bubble3D val="0"/>
            <c:spPr>
              <a:solidFill>
                <a:schemeClr val="accent2">
                  <a:tint val="69000"/>
                </a:schemeClr>
              </a:solidFill>
              <a:ln w="19050">
                <a:solidFill>
                  <a:schemeClr val="lt1"/>
                </a:solidFill>
              </a:ln>
              <a:effectLst/>
            </c:spPr>
            <c:extLst>
              <c:ext xmlns:c16="http://schemas.microsoft.com/office/drawing/2014/chart" uri="{C3380CC4-5D6E-409C-BE32-E72D297353CC}">
                <c16:uniqueId val="{00000024-4BF6-4234-9F41-A9E5BD6593A3}"/>
              </c:ext>
            </c:extLst>
          </c:dPt>
          <c:dPt>
            <c:idx val="8"/>
            <c:bubble3D val="0"/>
            <c:spPr>
              <a:solidFill>
                <a:schemeClr val="accent2">
                  <a:tint val="56000"/>
                </a:schemeClr>
              </a:solidFill>
              <a:ln w="19050">
                <a:solidFill>
                  <a:schemeClr val="lt1"/>
                </a:solidFill>
              </a:ln>
              <a:effectLst/>
            </c:spPr>
            <c:extLst>
              <c:ext xmlns:c16="http://schemas.microsoft.com/office/drawing/2014/chart" uri="{C3380CC4-5D6E-409C-BE32-E72D297353CC}">
                <c16:uniqueId val="{00000026-4BF6-4234-9F41-A9E5BD6593A3}"/>
              </c:ext>
            </c:extLst>
          </c:dPt>
          <c:dPt>
            <c:idx val="9"/>
            <c:bubble3D val="0"/>
            <c:spPr>
              <a:solidFill>
                <a:schemeClr val="accent2">
                  <a:tint val="43000"/>
                </a:schemeClr>
              </a:solidFill>
              <a:ln w="19050">
                <a:solidFill>
                  <a:schemeClr val="lt1"/>
                </a:solidFill>
              </a:ln>
              <a:effectLst/>
            </c:spPr>
            <c:extLst>
              <c:ext xmlns:c16="http://schemas.microsoft.com/office/drawing/2014/chart" uri="{C3380CC4-5D6E-409C-BE32-E72D297353CC}">
                <c16:uniqueId val="{00000028-4BF6-4234-9F41-A9E5BD6593A3}"/>
              </c:ext>
            </c:extLst>
          </c:dPt>
          <c:cat>
            <c:strRef>
              <c:f>'Pivot Tables'!$AV$5:$AV$15</c:f>
              <c:strCache>
                <c:ptCount val="10"/>
                <c:pt idx="0">
                  <c:v>85% Dark Bars</c:v>
                </c:pt>
                <c:pt idx="1">
                  <c:v>After Nines</c:v>
                </c:pt>
                <c:pt idx="2">
                  <c:v>Baker's Choco Chips</c:v>
                </c:pt>
                <c:pt idx="3">
                  <c:v>Choco Coated Almonds</c:v>
                </c:pt>
                <c:pt idx="4">
                  <c:v>Eclairs</c:v>
                </c:pt>
                <c:pt idx="5">
                  <c:v>Fruit &amp; Nut Bars</c:v>
                </c:pt>
                <c:pt idx="6">
                  <c:v>Manuka Honey Choco</c:v>
                </c:pt>
                <c:pt idx="7">
                  <c:v>Mint Chip Choco</c:v>
                </c:pt>
                <c:pt idx="8">
                  <c:v>Raspberry Choco</c:v>
                </c:pt>
                <c:pt idx="9">
                  <c:v>White Choc</c:v>
                </c:pt>
              </c:strCache>
            </c:strRef>
          </c:cat>
          <c:val>
            <c:numRef>
              <c:f>'Pivot Tables'!$AX$5:$AX$15</c:f>
              <c:numCache>
                <c:formatCode>0.00</c:formatCode>
                <c:ptCount val="10"/>
                <c:pt idx="1">
                  <c:v>0.951393005334914</c:v>
                </c:pt>
                <c:pt idx="3">
                  <c:v>2.9694879184500769</c:v>
                </c:pt>
                <c:pt idx="4">
                  <c:v>1.790005582059794</c:v>
                </c:pt>
                <c:pt idx="5">
                  <c:v>2.7757971716011482</c:v>
                </c:pt>
                <c:pt idx="6">
                  <c:v>1.9278024303171826</c:v>
                </c:pt>
                <c:pt idx="7">
                  <c:v>2.9282470272891494</c:v>
                </c:pt>
                <c:pt idx="9">
                  <c:v>2.0741081406215383</c:v>
                </c:pt>
              </c:numCache>
            </c:numRef>
          </c:val>
          <c:extLst>
            <c:ext xmlns:c16="http://schemas.microsoft.com/office/drawing/2014/chart" uri="{C3380CC4-5D6E-409C-BE32-E72D297353CC}">
              <c16:uniqueId val="{00000029-4BF6-4234-9F41-A9E5BD6593A3}"/>
            </c:ext>
          </c:extLst>
        </c:ser>
        <c:ser>
          <c:idx val="2"/>
          <c:order val="2"/>
          <c:tx>
            <c:strRef>
              <c:f>'Pivot Tables'!$AY$3:$AY$4</c:f>
              <c:strCache>
                <c:ptCount val="1"/>
                <c:pt idx="0">
                  <c:v>India</c:v>
                </c:pt>
              </c:strCache>
            </c:strRef>
          </c:tx>
          <c:dPt>
            <c:idx val="0"/>
            <c:bubble3D val="0"/>
            <c:spPr>
              <a:solidFill>
                <a:schemeClr val="accent2">
                  <a:shade val="42000"/>
                </a:schemeClr>
              </a:solidFill>
              <a:ln w="19050">
                <a:solidFill>
                  <a:schemeClr val="lt1"/>
                </a:solidFill>
              </a:ln>
              <a:effectLst/>
            </c:spPr>
            <c:extLst>
              <c:ext xmlns:c16="http://schemas.microsoft.com/office/drawing/2014/chart" uri="{C3380CC4-5D6E-409C-BE32-E72D297353CC}">
                <c16:uniqueId val="{0000002B-4BF6-4234-9F41-A9E5BD6593A3}"/>
              </c:ext>
            </c:extLst>
          </c:dPt>
          <c:dPt>
            <c:idx val="1"/>
            <c:bubble3D val="0"/>
            <c:spPr>
              <a:solidFill>
                <a:schemeClr val="accent2">
                  <a:shade val="55000"/>
                </a:schemeClr>
              </a:solidFill>
              <a:ln w="19050">
                <a:solidFill>
                  <a:schemeClr val="lt1"/>
                </a:solidFill>
              </a:ln>
              <a:effectLst/>
            </c:spPr>
            <c:extLst>
              <c:ext xmlns:c16="http://schemas.microsoft.com/office/drawing/2014/chart" uri="{C3380CC4-5D6E-409C-BE32-E72D297353CC}">
                <c16:uniqueId val="{0000002D-4BF6-4234-9F41-A9E5BD6593A3}"/>
              </c:ext>
            </c:extLst>
          </c:dPt>
          <c:dPt>
            <c:idx val="2"/>
            <c:bubble3D val="0"/>
            <c:spPr>
              <a:solidFill>
                <a:schemeClr val="accent2">
                  <a:shade val="68000"/>
                </a:schemeClr>
              </a:solidFill>
              <a:ln w="19050">
                <a:solidFill>
                  <a:schemeClr val="lt1"/>
                </a:solidFill>
              </a:ln>
              <a:effectLst/>
            </c:spPr>
            <c:extLst>
              <c:ext xmlns:c16="http://schemas.microsoft.com/office/drawing/2014/chart" uri="{C3380CC4-5D6E-409C-BE32-E72D297353CC}">
                <c16:uniqueId val="{0000002F-4BF6-4234-9F41-A9E5BD6593A3}"/>
              </c:ext>
            </c:extLst>
          </c:dPt>
          <c:dPt>
            <c:idx val="3"/>
            <c:bubble3D val="0"/>
            <c:spPr>
              <a:solidFill>
                <a:schemeClr val="accent2">
                  <a:shade val="80000"/>
                </a:schemeClr>
              </a:solidFill>
              <a:ln w="19050">
                <a:solidFill>
                  <a:schemeClr val="lt1"/>
                </a:solidFill>
              </a:ln>
              <a:effectLst/>
            </c:spPr>
            <c:extLst>
              <c:ext xmlns:c16="http://schemas.microsoft.com/office/drawing/2014/chart" uri="{C3380CC4-5D6E-409C-BE32-E72D297353CC}">
                <c16:uniqueId val="{00000031-4BF6-4234-9F41-A9E5BD6593A3}"/>
              </c:ext>
            </c:extLst>
          </c:dPt>
          <c:dPt>
            <c:idx val="4"/>
            <c:bubble3D val="0"/>
            <c:spPr>
              <a:solidFill>
                <a:schemeClr val="accent2">
                  <a:shade val="93000"/>
                </a:schemeClr>
              </a:solidFill>
              <a:ln w="19050">
                <a:solidFill>
                  <a:schemeClr val="lt1"/>
                </a:solidFill>
              </a:ln>
              <a:effectLst/>
            </c:spPr>
            <c:extLst>
              <c:ext xmlns:c16="http://schemas.microsoft.com/office/drawing/2014/chart" uri="{C3380CC4-5D6E-409C-BE32-E72D297353CC}">
                <c16:uniqueId val="{00000033-4BF6-4234-9F41-A9E5BD6593A3}"/>
              </c:ext>
            </c:extLst>
          </c:dPt>
          <c:dPt>
            <c:idx val="5"/>
            <c:bubble3D val="0"/>
            <c:spPr>
              <a:solidFill>
                <a:schemeClr val="accent2">
                  <a:tint val="94000"/>
                </a:schemeClr>
              </a:solidFill>
              <a:ln w="19050">
                <a:solidFill>
                  <a:schemeClr val="lt1"/>
                </a:solidFill>
              </a:ln>
              <a:effectLst/>
            </c:spPr>
            <c:extLst>
              <c:ext xmlns:c16="http://schemas.microsoft.com/office/drawing/2014/chart" uri="{C3380CC4-5D6E-409C-BE32-E72D297353CC}">
                <c16:uniqueId val="{00000035-4BF6-4234-9F41-A9E5BD6593A3}"/>
              </c:ext>
            </c:extLst>
          </c:dPt>
          <c:dPt>
            <c:idx val="6"/>
            <c:bubble3D val="0"/>
            <c:spPr>
              <a:solidFill>
                <a:schemeClr val="accent2">
                  <a:tint val="81000"/>
                </a:schemeClr>
              </a:solidFill>
              <a:ln w="19050">
                <a:solidFill>
                  <a:schemeClr val="lt1"/>
                </a:solidFill>
              </a:ln>
              <a:effectLst/>
            </c:spPr>
            <c:extLst>
              <c:ext xmlns:c16="http://schemas.microsoft.com/office/drawing/2014/chart" uri="{C3380CC4-5D6E-409C-BE32-E72D297353CC}">
                <c16:uniqueId val="{00000037-4BF6-4234-9F41-A9E5BD6593A3}"/>
              </c:ext>
            </c:extLst>
          </c:dPt>
          <c:dPt>
            <c:idx val="7"/>
            <c:bubble3D val="0"/>
            <c:spPr>
              <a:solidFill>
                <a:schemeClr val="accent2">
                  <a:tint val="69000"/>
                </a:schemeClr>
              </a:solidFill>
              <a:ln w="19050">
                <a:solidFill>
                  <a:schemeClr val="lt1"/>
                </a:solidFill>
              </a:ln>
              <a:effectLst/>
            </c:spPr>
            <c:extLst>
              <c:ext xmlns:c16="http://schemas.microsoft.com/office/drawing/2014/chart" uri="{C3380CC4-5D6E-409C-BE32-E72D297353CC}">
                <c16:uniqueId val="{00000039-4BF6-4234-9F41-A9E5BD6593A3}"/>
              </c:ext>
            </c:extLst>
          </c:dPt>
          <c:dPt>
            <c:idx val="8"/>
            <c:bubble3D val="0"/>
            <c:spPr>
              <a:solidFill>
                <a:schemeClr val="accent2">
                  <a:tint val="56000"/>
                </a:schemeClr>
              </a:solidFill>
              <a:ln w="19050">
                <a:solidFill>
                  <a:schemeClr val="lt1"/>
                </a:solidFill>
              </a:ln>
              <a:effectLst/>
            </c:spPr>
            <c:extLst>
              <c:ext xmlns:c16="http://schemas.microsoft.com/office/drawing/2014/chart" uri="{C3380CC4-5D6E-409C-BE32-E72D297353CC}">
                <c16:uniqueId val="{0000003B-4BF6-4234-9F41-A9E5BD6593A3}"/>
              </c:ext>
            </c:extLst>
          </c:dPt>
          <c:dPt>
            <c:idx val="9"/>
            <c:bubble3D val="0"/>
            <c:spPr>
              <a:solidFill>
                <a:schemeClr val="accent2">
                  <a:tint val="43000"/>
                </a:schemeClr>
              </a:solidFill>
              <a:ln w="19050">
                <a:solidFill>
                  <a:schemeClr val="lt1"/>
                </a:solidFill>
              </a:ln>
              <a:effectLst/>
            </c:spPr>
            <c:extLst>
              <c:ext xmlns:c16="http://schemas.microsoft.com/office/drawing/2014/chart" uri="{C3380CC4-5D6E-409C-BE32-E72D297353CC}">
                <c16:uniqueId val="{0000003D-4BF6-4234-9F41-A9E5BD6593A3}"/>
              </c:ext>
            </c:extLst>
          </c:dPt>
          <c:cat>
            <c:strRef>
              <c:f>'Pivot Tables'!$AV$5:$AV$15</c:f>
              <c:strCache>
                <c:ptCount val="10"/>
                <c:pt idx="0">
                  <c:v>85% Dark Bars</c:v>
                </c:pt>
                <c:pt idx="1">
                  <c:v>After Nines</c:v>
                </c:pt>
                <c:pt idx="2">
                  <c:v>Baker's Choco Chips</c:v>
                </c:pt>
                <c:pt idx="3">
                  <c:v>Choco Coated Almonds</c:v>
                </c:pt>
                <c:pt idx="4">
                  <c:v>Eclairs</c:v>
                </c:pt>
                <c:pt idx="5">
                  <c:v>Fruit &amp; Nut Bars</c:v>
                </c:pt>
                <c:pt idx="6">
                  <c:v>Manuka Honey Choco</c:v>
                </c:pt>
                <c:pt idx="7">
                  <c:v>Mint Chip Choco</c:v>
                </c:pt>
                <c:pt idx="8">
                  <c:v>Raspberry Choco</c:v>
                </c:pt>
                <c:pt idx="9">
                  <c:v>White Choc</c:v>
                </c:pt>
              </c:strCache>
            </c:strRef>
          </c:cat>
          <c:val>
            <c:numRef>
              <c:f>'Pivot Tables'!$AY$5:$AY$15</c:f>
              <c:numCache>
                <c:formatCode>0.00</c:formatCode>
                <c:ptCount val="10"/>
                <c:pt idx="0">
                  <c:v>0.89404197698036558</c:v>
                </c:pt>
                <c:pt idx="1">
                  <c:v>1.5735757071643532</c:v>
                </c:pt>
                <c:pt idx="2">
                  <c:v>3.5340186381342624</c:v>
                </c:pt>
                <c:pt idx="3">
                  <c:v>2.082410656009432</c:v>
                </c:pt>
                <c:pt idx="4">
                  <c:v>5.4297781400901348</c:v>
                </c:pt>
                <c:pt idx="5">
                  <c:v>3.2442613960488975</c:v>
                </c:pt>
                <c:pt idx="6">
                  <c:v>1.5866656224370144</c:v>
                </c:pt>
                <c:pt idx="7">
                  <c:v>0.7448312247881379</c:v>
                </c:pt>
                <c:pt idx="8">
                  <c:v>2.4803977243359752</c:v>
                </c:pt>
                <c:pt idx="9">
                  <c:v>1.25109143657463</c:v>
                </c:pt>
              </c:numCache>
            </c:numRef>
          </c:val>
          <c:extLst>
            <c:ext xmlns:c16="http://schemas.microsoft.com/office/drawing/2014/chart" uri="{C3380CC4-5D6E-409C-BE32-E72D297353CC}">
              <c16:uniqueId val="{0000003E-4BF6-4234-9F41-A9E5BD6593A3}"/>
            </c:ext>
          </c:extLst>
        </c:ser>
        <c:ser>
          <c:idx val="3"/>
          <c:order val="3"/>
          <c:tx>
            <c:strRef>
              <c:f>'Pivot Tables'!$AZ$3:$AZ$4</c:f>
              <c:strCache>
                <c:ptCount val="1"/>
                <c:pt idx="0">
                  <c:v>New Zealand</c:v>
                </c:pt>
              </c:strCache>
            </c:strRef>
          </c:tx>
          <c:dPt>
            <c:idx val="0"/>
            <c:bubble3D val="0"/>
            <c:spPr>
              <a:solidFill>
                <a:schemeClr val="accent2">
                  <a:shade val="42000"/>
                </a:schemeClr>
              </a:solidFill>
              <a:ln w="19050">
                <a:solidFill>
                  <a:schemeClr val="lt1"/>
                </a:solidFill>
              </a:ln>
              <a:effectLst/>
            </c:spPr>
            <c:extLst>
              <c:ext xmlns:c16="http://schemas.microsoft.com/office/drawing/2014/chart" uri="{C3380CC4-5D6E-409C-BE32-E72D297353CC}">
                <c16:uniqueId val="{00000040-4BF6-4234-9F41-A9E5BD6593A3}"/>
              </c:ext>
            </c:extLst>
          </c:dPt>
          <c:dPt>
            <c:idx val="1"/>
            <c:bubble3D val="0"/>
            <c:spPr>
              <a:solidFill>
                <a:schemeClr val="accent2">
                  <a:shade val="55000"/>
                </a:schemeClr>
              </a:solidFill>
              <a:ln w="19050">
                <a:solidFill>
                  <a:schemeClr val="lt1"/>
                </a:solidFill>
              </a:ln>
              <a:effectLst/>
            </c:spPr>
            <c:extLst>
              <c:ext xmlns:c16="http://schemas.microsoft.com/office/drawing/2014/chart" uri="{C3380CC4-5D6E-409C-BE32-E72D297353CC}">
                <c16:uniqueId val="{00000042-4BF6-4234-9F41-A9E5BD6593A3}"/>
              </c:ext>
            </c:extLst>
          </c:dPt>
          <c:dPt>
            <c:idx val="2"/>
            <c:bubble3D val="0"/>
            <c:spPr>
              <a:solidFill>
                <a:schemeClr val="accent2">
                  <a:shade val="68000"/>
                </a:schemeClr>
              </a:solidFill>
              <a:ln w="19050">
                <a:solidFill>
                  <a:schemeClr val="lt1"/>
                </a:solidFill>
              </a:ln>
              <a:effectLst/>
            </c:spPr>
            <c:extLst>
              <c:ext xmlns:c16="http://schemas.microsoft.com/office/drawing/2014/chart" uri="{C3380CC4-5D6E-409C-BE32-E72D297353CC}">
                <c16:uniqueId val="{00000044-4BF6-4234-9F41-A9E5BD6593A3}"/>
              </c:ext>
            </c:extLst>
          </c:dPt>
          <c:dPt>
            <c:idx val="3"/>
            <c:bubble3D val="0"/>
            <c:spPr>
              <a:solidFill>
                <a:schemeClr val="accent2">
                  <a:shade val="80000"/>
                </a:schemeClr>
              </a:solidFill>
              <a:ln w="19050">
                <a:solidFill>
                  <a:schemeClr val="lt1"/>
                </a:solidFill>
              </a:ln>
              <a:effectLst/>
            </c:spPr>
            <c:extLst>
              <c:ext xmlns:c16="http://schemas.microsoft.com/office/drawing/2014/chart" uri="{C3380CC4-5D6E-409C-BE32-E72D297353CC}">
                <c16:uniqueId val="{00000046-4BF6-4234-9F41-A9E5BD6593A3}"/>
              </c:ext>
            </c:extLst>
          </c:dPt>
          <c:dPt>
            <c:idx val="4"/>
            <c:bubble3D val="0"/>
            <c:spPr>
              <a:solidFill>
                <a:schemeClr val="accent2">
                  <a:shade val="93000"/>
                </a:schemeClr>
              </a:solidFill>
              <a:ln w="19050">
                <a:solidFill>
                  <a:schemeClr val="lt1"/>
                </a:solidFill>
              </a:ln>
              <a:effectLst/>
            </c:spPr>
            <c:extLst>
              <c:ext xmlns:c16="http://schemas.microsoft.com/office/drawing/2014/chart" uri="{C3380CC4-5D6E-409C-BE32-E72D297353CC}">
                <c16:uniqueId val="{00000048-4BF6-4234-9F41-A9E5BD6593A3}"/>
              </c:ext>
            </c:extLst>
          </c:dPt>
          <c:dPt>
            <c:idx val="5"/>
            <c:bubble3D val="0"/>
            <c:spPr>
              <a:solidFill>
                <a:schemeClr val="accent2">
                  <a:tint val="94000"/>
                </a:schemeClr>
              </a:solidFill>
              <a:ln w="19050">
                <a:solidFill>
                  <a:schemeClr val="lt1"/>
                </a:solidFill>
              </a:ln>
              <a:effectLst/>
            </c:spPr>
            <c:extLst>
              <c:ext xmlns:c16="http://schemas.microsoft.com/office/drawing/2014/chart" uri="{C3380CC4-5D6E-409C-BE32-E72D297353CC}">
                <c16:uniqueId val="{0000004A-4BF6-4234-9F41-A9E5BD6593A3}"/>
              </c:ext>
            </c:extLst>
          </c:dPt>
          <c:dPt>
            <c:idx val="6"/>
            <c:bubble3D val="0"/>
            <c:spPr>
              <a:solidFill>
                <a:schemeClr val="accent2">
                  <a:tint val="81000"/>
                </a:schemeClr>
              </a:solidFill>
              <a:ln w="19050">
                <a:solidFill>
                  <a:schemeClr val="lt1"/>
                </a:solidFill>
              </a:ln>
              <a:effectLst/>
            </c:spPr>
            <c:extLst>
              <c:ext xmlns:c16="http://schemas.microsoft.com/office/drawing/2014/chart" uri="{C3380CC4-5D6E-409C-BE32-E72D297353CC}">
                <c16:uniqueId val="{0000004C-4BF6-4234-9F41-A9E5BD6593A3}"/>
              </c:ext>
            </c:extLst>
          </c:dPt>
          <c:dPt>
            <c:idx val="7"/>
            <c:bubble3D val="0"/>
            <c:spPr>
              <a:solidFill>
                <a:schemeClr val="accent2">
                  <a:tint val="69000"/>
                </a:schemeClr>
              </a:solidFill>
              <a:ln w="19050">
                <a:solidFill>
                  <a:schemeClr val="lt1"/>
                </a:solidFill>
              </a:ln>
              <a:effectLst/>
            </c:spPr>
            <c:extLst>
              <c:ext xmlns:c16="http://schemas.microsoft.com/office/drawing/2014/chart" uri="{C3380CC4-5D6E-409C-BE32-E72D297353CC}">
                <c16:uniqueId val="{0000004E-4BF6-4234-9F41-A9E5BD6593A3}"/>
              </c:ext>
            </c:extLst>
          </c:dPt>
          <c:dPt>
            <c:idx val="8"/>
            <c:bubble3D val="0"/>
            <c:spPr>
              <a:solidFill>
                <a:schemeClr val="accent2">
                  <a:tint val="56000"/>
                </a:schemeClr>
              </a:solidFill>
              <a:ln w="19050">
                <a:solidFill>
                  <a:schemeClr val="lt1"/>
                </a:solidFill>
              </a:ln>
              <a:effectLst/>
            </c:spPr>
            <c:extLst>
              <c:ext xmlns:c16="http://schemas.microsoft.com/office/drawing/2014/chart" uri="{C3380CC4-5D6E-409C-BE32-E72D297353CC}">
                <c16:uniqueId val="{00000050-4BF6-4234-9F41-A9E5BD6593A3}"/>
              </c:ext>
            </c:extLst>
          </c:dPt>
          <c:dPt>
            <c:idx val="9"/>
            <c:bubble3D val="0"/>
            <c:spPr>
              <a:solidFill>
                <a:schemeClr val="accent2">
                  <a:tint val="43000"/>
                </a:schemeClr>
              </a:solidFill>
              <a:ln w="19050">
                <a:solidFill>
                  <a:schemeClr val="lt1"/>
                </a:solidFill>
              </a:ln>
              <a:effectLst/>
            </c:spPr>
            <c:extLst>
              <c:ext xmlns:c16="http://schemas.microsoft.com/office/drawing/2014/chart" uri="{C3380CC4-5D6E-409C-BE32-E72D297353CC}">
                <c16:uniqueId val="{00000052-4BF6-4234-9F41-A9E5BD6593A3}"/>
              </c:ext>
            </c:extLst>
          </c:dPt>
          <c:cat>
            <c:strRef>
              <c:f>'Pivot Tables'!$AV$5:$AV$15</c:f>
              <c:strCache>
                <c:ptCount val="10"/>
                <c:pt idx="0">
                  <c:v>85% Dark Bars</c:v>
                </c:pt>
                <c:pt idx="1">
                  <c:v>After Nines</c:v>
                </c:pt>
                <c:pt idx="2">
                  <c:v>Baker's Choco Chips</c:v>
                </c:pt>
                <c:pt idx="3">
                  <c:v>Choco Coated Almonds</c:v>
                </c:pt>
                <c:pt idx="4">
                  <c:v>Eclairs</c:v>
                </c:pt>
                <c:pt idx="5">
                  <c:v>Fruit &amp; Nut Bars</c:v>
                </c:pt>
                <c:pt idx="6">
                  <c:v>Manuka Honey Choco</c:v>
                </c:pt>
                <c:pt idx="7">
                  <c:v>Mint Chip Choco</c:v>
                </c:pt>
                <c:pt idx="8">
                  <c:v>Raspberry Choco</c:v>
                </c:pt>
                <c:pt idx="9">
                  <c:v>White Choc</c:v>
                </c:pt>
              </c:strCache>
            </c:strRef>
          </c:cat>
          <c:val>
            <c:numRef>
              <c:f>'Pivot Tables'!$AZ$5:$AZ$15</c:f>
              <c:numCache>
                <c:formatCode>0.00</c:formatCode>
                <c:ptCount val="10"/>
                <c:pt idx="0">
                  <c:v>0.92075648640200058</c:v>
                </c:pt>
                <c:pt idx="1">
                  <c:v>0.79440772750381294</c:v>
                </c:pt>
                <c:pt idx="2">
                  <c:v>4.0459664583123232</c:v>
                </c:pt>
                <c:pt idx="4">
                  <c:v>2.7476672305129326</c:v>
                </c:pt>
                <c:pt idx="5">
                  <c:v>2.4897515749261974</c:v>
                </c:pt>
                <c:pt idx="6">
                  <c:v>1.4374529237405238</c:v>
                </c:pt>
                <c:pt idx="7">
                  <c:v>0.34767104969913082</c:v>
                </c:pt>
                <c:pt idx="8">
                  <c:v>1.7915479827276939</c:v>
                </c:pt>
                <c:pt idx="9">
                  <c:v>1.4922598637083615</c:v>
                </c:pt>
              </c:numCache>
            </c:numRef>
          </c:val>
          <c:extLst>
            <c:ext xmlns:c16="http://schemas.microsoft.com/office/drawing/2014/chart" uri="{C3380CC4-5D6E-409C-BE32-E72D297353CC}">
              <c16:uniqueId val="{00000053-4BF6-4234-9F41-A9E5BD6593A3}"/>
            </c:ext>
          </c:extLst>
        </c:ser>
        <c:ser>
          <c:idx val="4"/>
          <c:order val="4"/>
          <c:tx>
            <c:strRef>
              <c:f>'Pivot Tables'!$BA$3:$BA$4</c:f>
              <c:strCache>
                <c:ptCount val="1"/>
                <c:pt idx="0">
                  <c:v>UK</c:v>
                </c:pt>
              </c:strCache>
            </c:strRef>
          </c:tx>
          <c:dPt>
            <c:idx val="0"/>
            <c:bubble3D val="0"/>
            <c:spPr>
              <a:solidFill>
                <a:schemeClr val="accent2">
                  <a:shade val="42000"/>
                </a:schemeClr>
              </a:solidFill>
              <a:ln w="19050">
                <a:solidFill>
                  <a:schemeClr val="lt1"/>
                </a:solidFill>
              </a:ln>
              <a:effectLst/>
            </c:spPr>
            <c:extLst>
              <c:ext xmlns:c16="http://schemas.microsoft.com/office/drawing/2014/chart" uri="{C3380CC4-5D6E-409C-BE32-E72D297353CC}">
                <c16:uniqueId val="{00000055-4BF6-4234-9F41-A9E5BD6593A3}"/>
              </c:ext>
            </c:extLst>
          </c:dPt>
          <c:dPt>
            <c:idx val="1"/>
            <c:bubble3D val="0"/>
            <c:spPr>
              <a:solidFill>
                <a:schemeClr val="accent2">
                  <a:shade val="55000"/>
                </a:schemeClr>
              </a:solidFill>
              <a:ln w="19050">
                <a:solidFill>
                  <a:schemeClr val="lt1"/>
                </a:solidFill>
              </a:ln>
              <a:effectLst/>
            </c:spPr>
            <c:extLst>
              <c:ext xmlns:c16="http://schemas.microsoft.com/office/drawing/2014/chart" uri="{C3380CC4-5D6E-409C-BE32-E72D297353CC}">
                <c16:uniqueId val="{00000057-4BF6-4234-9F41-A9E5BD6593A3}"/>
              </c:ext>
            </c:extLst>
          </c:dPt>
          <c:dPt>
            <c:idx val="2"/>
            <c:bubble3D val="0"/>
            <c:spPr>
              <a:solidFill>
                <a:schemeClr val="accent2">
                  <a:shade val="68000"/>
                </a:schemeClr>
              </a:solidFill>
              <a:ln w="19050">
                <a:solidFill>
                  <a:schemeClr val="lt1"/>
                </a:solidFill>
              </a:ln>
              <a:effectLst/>
            </c:spPr>
            <c:extLst>
              <c:ext xmlns:c16="http://schemas.microsoft.com/office/drawing/2014/chart" uri="{C3380CC4-5D6E-409C-BE32-E72D297353CC}">
                <c16:uniqueId val="{00000059-4BF6-4234-9F41-A9E5BD6593A3}"/>
              </c:ext>
            </c:extLst>
          </c:dPt>
          <c:dPt>
            <c:idx val="3"/>
            <c:bubble3D val="0"/>
            <c:spPr>
              <a:solidFill>
                <a:schemeClr val="accent2">
                  <a:shade val="80000"/>
                </a:schemeClr>
              </a:solidFill>
              <a:ln w="19050">
                <a:solidFill>
                  <a:schemeClr val="lt1"/>
                </a:solidFill>
              </a:ln>
              <a:effectLst/>
            </c:spPr>
            <c:extLst>
              <c:ext xmlns:c16="http://schemas.microsoft.com/office/drawing/2014/chart" uri="{C3380CC4-5D6E-409C-BE32-E72D297353CC}">
                <c16:uniqueId val="{0000005B-4BF6-4234-9F41-A9E5BD6593A3}"/>
              </c:ext>
            </c:extLst>
          </c:dPt>
          <c:dPt>
            <c:idx val="4"/>
            <c:bubble3D val="0"/>
            <c:spPr>
              <a:solidFill>
                <a:schemeClr val="accent2">
                  <a:shade val="93000"/>
                </a:schemeClr>
              </a:solidFill>
              <a:ln w="19050">
                <a:solidFill>
                  <a:schemeClr val="lt1"/>
                </a:solidFill>
              </a:ln>
              <a:effectLst/>
            </c:spPr>
            <c:extLst>
              <c:ext xmlns:c16="http://schemas.microsoft.com/office/drawing/2014/chart" uri="{C3380CC4-5D6E-409C-BE32-E72D297353CC}">
                <c16:uniqueId val="{0000005D-4BF6-4234-9F41-A9E5BD6593A3}"/>
              </c:ext>
            </c:extLst>
          </c:dPt>
          <c:dPt>
            <c:idx val="5"/>
            <c:bubble3D val="0"/>
            <c:spPr>
              <a:solidFill>
                <a:schemeClr val="accent2">
                  <a:tint val="94000"/>
                </a:schemeClr>
              </a:solidFill>
              <a:ln w="19050">
                <a:solidFill>
                  <a:schemeClr val="lt1"/>
                </a:solidFill>
              </a:ln>
              <a:effectLst/>
            </c:spPr>
            <c:extLst>
              <c:ext xmlns:c16="http://schemas.microsoft.com/office/drawing/2014/chart" uri="{C3380CC4-5D6E-409C-BE32-E72D297353CC}">
                <c16:uniqueId val="{0000005F-4BF6-4234-9F41-A9E5BD6593A3}"/>
              </c:ext>
            </c:extLst>
          </c:dPt>
          <c:dPt>
            <c:idx val="6"/>
            <c:bubble3D val="0"/>
            <c:spPr>
              <a:solidFill>
                <a:schemeClr val="accent2">
                  <a:tint val="81000"/>
                </a:schemeClr>
              </a:solidFill>
              <a:ln w="19050">
                <a:solidFill>
                  <a:schemeClr val="lt1"/>
                </a:solidFill>
              </a:ln>
              <a:effectLst/>
            </c:spPr>
            <c:extLst>
              <c:ext xmlns:c16="http://schemas.microsoft.com/office/drawing/2014/chart" uri="{C3380CC4-5D6E-409C-BE32-E72D297353CC}">
                <c16:uniqueId val="{00000061-4BF6-4234-9F41-A9E5BD6593A3}"/>
              </c:ext>
            </c:extLst>
          </c:dPt>
          <c:dPt>
            <c:idx val="7"/>
            <c:bubble3D val="0"/>
            <c:spPr>
              <a:solidFill>
                <a:schemeClr val="accent2">
                  <a:tint val="69000"/>
                </a:schemeClr>
              </a:solidFill>
              <a:ln w="19050">
                <a:solidFill>
                  <a:schemeClr val="lt1"/>
                </a:solidFill>
              </a:ln>
              <a:effectLst/>
            </c:spPr>
            <c:extLst>
              <c:ext xmlns:c16="http://schemas.microsoft.com/office/drawing/2014/chart" uri="{C3380CC4-5D6E-409C-BE32-E72D297353CC}">
                <c16:uniqueId val="{00000063-4BF6-4234-9F41-A9E5BD6593A3}"/>
              </c:ext>
            </c:extLst>
          </c:dPt>
          <c:dPt>
            <c:idx val="8"/>
            <c:bubble3D val="0"/>
            <c:spPr>
              <a:solidFill>
                <a:schemeClr val="accent2">
                  <a:tint val="56000"/>
                </a:schemeClr>
              </a:solidFill>
              <a:ln w="19050">
                <a:solidFill>
                  <a:schemeClr val="lt1"/>
                </a:solidFill>
              </a:ln>
              <a:effectLst/>
            </c:spPr>
            <c:extLst>
              <c:ext xmlns:c16="http://schemas.microsoft.com/office/drawing/2014/chart" uri="{C3380CC4-5D6E-409C-BE32-E72D297353CC}">
                <c16:uniqueId val="{00000065-4BF6-4234-9F41-A9E5BD6593A3}"/>
              </c:ext>
            </c:extLst>
          </c:dPt>
          <c:dPt>
            <c:idx val="9"/>
            <c:bubble3D val="0"/>
            <c:spPr>
              <a:solidFill>
                <a:schemeClr val="accent2">
                  <a:tint val="43000"/>
                </a:schemeClr>
              </a:solidFill>
              <a:ln w="19050">
                <a:solidFill>
                  <a:schemeClr val="lt1"/>
                </a:solidFill>
              </a:ln>
              <a:effectLst/>
            </c:spPr>
            <c:extLst>
              <c:ext xmlns:c16="http://schemas.microsoft.com/office/drawing/2014/chart" uri="{C3380CC4-5D6E-409C-BE32-E72D297353CC}">
                <c16:uniqueId val="{00000067-4BF6-4234-9F41-A9E5BD6593A3}"/>
              </c:ext>
            </c:extLst>
          </c:dPt>
          <c:cat>
            <c:strRef>
              <c:f>'Pivot Tables'!$AV$5:$AV$15</c:f>
              <c:strCache>
                <c:ptCount val="10"/>
                <c:pt idx="0">
                  <c:v>85% Dark Bars</c:v>
                </c:pt>
                <c:pt idx="1">
                  <c:v>After Nines</c:v>
                </c:pt>
                <c:pt idx="2">
                  <c:v>Baker's Choco Chips</c:v>
                </c:pt>
                <c:pt idx="3">
                  <c:v>Choco Coated Almonds</c:v>
                </c:pt>
                <c:pt idx="4">
                  <c:v>Eclairs</c:v>
                </c:pt>
                <c:pt idx="5">
                  <c:v>Fruit &amp; Nut Bars</c:v>
                </c:pt>
                <c:pt idx="6">
                  <c:v>Manuka Honey Choco</c:v>
                </c:pt>
                <c:pt idx="7">
                  <c:v>Mint Chip Choco</c:v>
                </c:pt>
                <c:pt idx="8">
                  <c:v>Raspberry Choco</c:v>
                </c:pt>
                <c:pt idx="9">
                  <c:v>White Choc</c:v>
                </c:pt>
              </c:strCache>
            </c:strRef>
          </c:cat>
          <c:val>
            <c:numRef>
              <c:f>'Pivot Tables'!$BA$5:$BA$15</c:f>
              <c:numCache>
                <c:formatCode>0.00</c:formatCode>
                <c:ptCount val="10"/>
                <c:pt idx="0">
                  <c:v>2.3954233612677376</c:v>
                </c:pt>
                <c:pt idx="1">
                  <c:v>1.98657166031018</c:v>
                </c:pt>
                <c:pt idx="2">
                  <c:v>2.6553442384782446</c:v>
                </c:pt>
                <c:pt idx="4">
                  <c:v>1.8137361674427921</c:v>
                </c:pt>
                <c:pt idx="5">
                  <c:v>0.62857142857142856</c:v>
                </c:pt>
                <c:pt idx="6">
                  <c:v>1.0130935578183284</c:v>
                </c:pt>
                <c:pt idx="7">
                  <c:v>0.49007936507936506</c:v>
                </c:pt>
                <c:pt idx="8">
                  <c:v>1.8267519846528595</c:v>
                </c:pt>
                <c:pt idx="9">
                  <c:v>0.70332080200501257</c:v>
                </c:pt>
              </c:numCache>
            </c:numRef>
          </c:val>
          <c:extLst>
            <c:ext xmlns:c16="http://schemas.microsoft.com/office/drawing/2014/chart" uri="{C3380CC4-5D6E-409C-BE32-E72D297353CC}">
              <c16:uniqueId val="{00000068-4BF6-4234-9F41-A9E5BD6593A3}"/>
            </c:ext>
          </c:extLst>
        </c:ser>
        <c:ser>
          <c:idx val="5"/>
          <c:order val="5"/>
          <c:tx>
            <c:strRef>
              <c:f>'Pivot Tables'!$BB$3:$BB$4</c:f>
              <c:strCache>
                <c:ptCount val="1"/>
                <c:pt idx="0">
                  <c:v>USA</c:v>
                </c:pt>
              </c:strCache>
            </c:strRef>
          </c:tx>
          <c:dPt>
            <c:idx val="0"/>
            <c:bubble3D val="0"/>
            <c:spPr>
              <a:solidFill>
                <a:schemeClr val="accent2">
                  <a:shade val="42000"/>
                </a:schemeClr>
              </a:solidFill>
              <a:ln w="19050">
                <a:solidFill>
                  <a:schemeClr val="lt1"/>
                </a:solidFill>
              </a:ln>
              <a:effectLst/>
            </c:spPr>
            <c:extLst>
              <c:ext xmlns:c16="http://schemas.microsoft.com/office/drawing/2014/chart" uri="{C3380CC4-5D6E-409C-BE32-E72D297353CC}">
                <c16:uniqueId val="{0000006A-4BF6-4234-9F41-A9E5BD6593A3}"/>
              </c:ext>
            </c:extLst>
          </c:dPt>
          <c:dPt>
            <c:idx val="1"/>
            <c:bubble3D val="0"/>
            <c:spPr>
              <a:solidFill>
                <a:schemeClr val="accent2">
                  <a:shade val="55000"/>
                </a:schemeClr>
              </a:solidFill>
              <a:ln w="19050">
                <a:solidFill>
                  <a:schemeClr val="lt1"/>
                </a:solidFill>
              </a:ln>
              <a:effectLst/>
            </c:spPr>
            <c:extLst>
              <c:ext xmlns:c16="http://schemas.microsoft.com/office/drawing/2014/chart" uri="{C3380CC4-5D6E-409C-BE32-E72D297353CC}">
                <c16:uniqueId val="{0000006C-4BF6-4234-9F41-A9E5BD6593A3}"/>
              </c:ext>
            </c:extLst>
          </c:dPt>
          <c:dPt>
            <c:idx val="2"/>
            <c:bubble3D val="0"/>
            <c:spPr>
              <a:solidFill>
                <a:schemeClr val="accent2">
                  <a:shade val="68000"/>
                </a:schemeClr>
              </a:solidFill>
              <a:ln w="19050">
                <a:solidFill>
                  <a:schemeClr val="lt1"/>
                </a:solidFill>
              </a:ln>
              <a:effectLst/>
            </c:spPr>
            <c:extLst>
              <c:ext xmlns:c16="http://schemas.microsoft.com/office/drawing/2014/chart" uri="{C3380CC4-5D6E-409C-BE32-E72D297353CC}">
                <c16:uniqueId val="{0000006E-4BF6-4234-9F41-A9E5BD6593A3}"/>
              </c:ext>
            </c:extLst>
          </c:dPt>
          <c:dPt>
            <c:idx val="3"/>
            <c:bubble3D val="0"/>
            <c:spPr>
              <a:solidFill>
                <a:schemeClr val="accent2">
                  <a:shade val="80000"/>
                </a:schemeClr>
              </a:solidFill>
              <a:ln w="19050">
                <a:solidFill>
                  <a:schemeClr val="lt1"/>
                </a:solidFill>
              </a:ln>
              <a:effectLst/>
            </c:spPr>
            <c:extLst>
              <c:ext xmlns:c16="http://schemas.microsoft.com/office/drawing/2014/chart" uri="{C3380CC4-5D6E-409C-BE32-E72D297353CC}">
                <c16:uniqueId val="{00000070-4BF6-4234-9F41-A9E5BD6593A3}"/>
              </c:ext>
            </c:extLst>
          </c:dPt>
          <c:dPt>
            <c:idx val="4"/>
            <c:bubble3D val="0"/>
            <c:spPr>
              <a:solidFill>
                <a:schemeClr val="accent2">
                  <a:shade val="93000"/>
                </a:schemeClr>
              </a:solidFill>
              <a:ln w="19050">
                <a:solidFill>
                  <a:schemeClr val="lt1"/>
                </a:solidFill>
              </a:ln>
              <a:effectLst/>
            </c:spPr>
            <c:extLst>
              <c:ext xmlns:c16="http://schemas.microsoft.com/office/drawing/2014/chart" uri="{C3380CC4-5D6E-409C-BE32-E72D297353CC}">
                <c16:uniqueId val="{00000072-4BF6-4234-9F41-A9E5BD6593A3}"/>
              </c:ext>
            </c:extLst>
          </c:dPt>
          <c:dPt>
            <c:idx val="5"/>
            <c:bubble3D val="0"/>
            <c:spPr>
              <a:solidFill>
                <a:schemeClr val="accent2">
                  <a:tint val="94000"/>
                </a:schemeClr>
              </a:solidFill>
              <a:ln w="19050">
                <a:solidFill>
                  <a:schemeClr val="lt1"/>
                </a:solidFill>
              </a:ln>
              <a:effectLst/>
            </c:spPr>
            <c:extLst>
              <c:ext xmlns:c16="http://schemas.microsoft.com/office/drawing/2014/chart" uri="{C3380CC4-5D6E-409C-BE32-E72D297353CC}">
                <c16:uniqueId val="{00000074-4BF6-4234-9F41-A9E5BD6593A3}"/>
              </c:ext>
            </c:extLst>
          </c:dPt>
          <c:dPt>
            <c:idx val="6"/>
            <c:bubble3D val="0"/>
            <c:spPr>
              <a:solidFill>
                <a:schemeClr val="accent2">
                  <a:tint val="81000"/>
                </a:schemeClr>
              </a:solidFill>
              <a:ln w="19050">
                <a:solidFill>
                  <a:schemeClr val="lt1"/>
                </a:solidFill>
              </a:ln>
              <a:effectLst/>
            </c:spPr>
            <c:extLst>
              <c:ext xmlns:c16="http://schemas.microsoft.com/office/drawing/2014/chart" uri="{C3380CC4-5D6E-409C-BE32-E72D297353CC}">
                <c16:uniqueId val="{00000076-4BF6-4234-9F41-A9E5BD6593A3}"/>
              </c:ext>
            </c:extLst>
          </c:dPt>
          <c:dPt>
            <c:idx val="7"/>
            <c:bubble3D val="0"/>
            <c:spPr>
              <a:solidFill>
                <a:schemeClr val="accent2">
                  <a:tint val="69000"/>
                </a:schemeClr>
              </a:solidFill>
              <a:ln w="19050">
                <a:solidFill>
                  <a:schemeClr val="lt1"/>
                </a:solidFill>
              </a:ln>
              <a:effectLst/>
            </c:spPr>
            <c:extLst>
              <c:ext xmlns:c16="http://schemas.microsoft.com/office/drawing/2014/chart" uri="{C3380CC4-5D6E-409C-BE32-E72D297353CC}">
                <c16:uniqueId val="{00000078-4BF6-4234-9F41-A9E5BD6593A3}"/>
              </c:ext>
            </c:extLst>
          </c:dPt>
          <c:dPt>
            <c:idx val="8"/>
            <c:bubble3D val="0"/>
            <c:spPr>
              <a:solidFill>
                <a:schemeClr val="accent2">
                  <a:tint val="56000"/>
                </a:schemeClr>
              </a:solidFill>
              <a:ln w="19050">
                <a:solidFill>
                  <a:schemeClr val="lt1"/>
                </a:solidFill>
              </a:ln>
              <a:effectLst/>
            </c:spPr>
            <c:extLst>
              <c:ext xmlns:c16="http://schemas.microsoft.com/office/drawing/2014/chart" uri="{C3380CC4-5D6E-409C-BE32-E72D297353CC}">
                <c16:uniqueId val="{0000007A-4BF6-4234-9F41-A9E5BD6593A3}"/>
              </c:ext>
            </c:extLst>
          </c:dPt>
          <c:dPt>
            <c:idx val="9"/>
            <c:bubble3D val="0"/>
            <c:spPr>
              <a:solidFill>
                <a:schemeClr val="accent2">
                  <a:tint val="43000"/>
                </a:schemeClr>
              </a:solidFill>
              <a:ln w="19050">
                <a:solidFill>
                  <a:schemeClr val="lt1"/>
                </a:solidFill>
              </a:ln>
              <a:effectLst/>
            </c:spPr>
            <c:extLst>
              <c:ext xmlns:c16="http://schemas.microsoft.com/office/drawing/2014/chart" uri="{C3380CC4-5D6E-409C-BE32-E72D297353CC}">
                <c16:uniqueId val="{0000007C-4BF6-4234-9F41-A9E5BD6593A3}"/>
              </c:ext>
            </c:extLst>
          </c:dPt>
          <c:cat>
            <c:strRef>
              <c:f>'Pivot Tables'!$AV$5:$AV$15</c:f>
              <c:strCache>
                <c:ptCount val="10"/>
                <c:pt idx="0">
                  <c:v>85% Dark Bars</c:v>
                </c:pt>
                <c:pt idx="1">
                  <c:v>After Nines</c:v>
                </c:pt>
                <c:pt idx="2">
                  <c:v>Baker's Choco Chips</c:v>
                </c:pt>
                <c:pt idx="3">
                  <c:v>Choco Coated Almonds</c:v>
                </c:pt>
                <c:pt idx="4">
                  <c:v>Eclairs</c:v>
                </c:pt>
                <c:pt idx="5">
                  <c:v>Fruit &amp; Nut Bars</c:v>
                </c:pt>
                <c:pt idx="6">
                  <c:v>Manuka Honey Choco</c:v>
                </c:pt>
                <c:pt idx="7">
                  <c:v>Mint Chip Choco</c:v>
                </c:pt>
                <c:pt idx="8">
                  <c:v>Raspberry Choco</c:v>
                </c:pt>
                <c:pt idx="9">
                  <c:v>White Choc</c:v>
                </c:pt>
              </c:strCache>
            </c:strRef>
          </c:cat>
          <c:val>
            <c:numRef>
              <c:f>'Pivot Tables'!$BB$5:$BB$15</c:f>
              <c:numCache>
                <c:formatCode>0.00</c:formatCode>
                <c:ptCount val="10"/>
                <c:pt idx="0">
                  <c:v>1.6510828352933615</c:v>
                </c:pt>
                <c:pt idx="1">
                  <c:v>1.0603038917017953</c:v>
                </c:pt>
                <c:pt idx="3">
                  <c:v>1.2440796579094904</c:v>
                </c:pt>
                <c:pt idx="4">
                  <c:v>0.40717432347388294</c:v>
                </c:pt>
                <c:pt idx="5">
                  <c:v>0.74987642115669795</c:v>
                </c:pt>
                <c:pt idx="6">
                  <c:v>2.0532333102699591</c:v>
                </c:pt>
                <c:pt idx="7">
                  <c:v>1.5653950906409924</c:v>
                </c:pt>
                <c:pt idx="8">
                  <c:v>2.9464888381717342</c:v>
                </c:pt>
              </c:numCache>
            </c:numRef>
          </c:val>
          <c:extLst>
            <c:ext xmlns:c16="http://schemas.microsoft.com/office/drawing/2014/chart" uri="{C3380CC4-5D6E-409C-BE32-E72D297353CC}">
              <c16:uniqueId val="{0000007D-4BF6-4234-9F41-A9E5BD6593A3}"/>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200025</xdr:colOff>
      <xdr:row>0</xdr:row>
      <xdr:rowOff>0</xdr:rowOff>
    </xdr:from>
    <xdr:to>
      <xdr:col>29</xdr:col>
      <xdr:colOff>279400</xdr:colOff>
      <xdr:row>44</xdr:row>
      <xdr:rowOff>142875</xdr:rowOff>
    </xdr:to>
    <xdr:sp macro="" textlink="">
      <xdr:nvSpPr>
        <xdr:cNvPr id="2" name="Rectangle 1">
          <a:extLst>
            <a:ext uri="{FF2B5EF4-FFF2-40B4-BE49-F238E27FC236}">
              <a16:creationId xmlns:a16="http://schemas.microsoft.com/office/drawing/2014/main" id="{00000000-0008-0000-0300-000002000000}"/>
            </a:ext>
          </a:extLst>
        </xdr:cNvPr>
        <xdr:cNvSpPr/>
      </xdr:nvSpPr>
      <xdr:spPr>
        <a:xfrm>
          <a:off x="809625" y="0"/>
          <a:ext cx="17148175" cy="8524875"/>
        </a:xfrm>
        <a:prstGeom prst="rect">
          <a:avLst/>
        </a:prstGeom>
        <a:gradFill>
          <a:gsLst>
            <a:gs pos="100000">
              <a:schemeClr val="accent1">
                <a:lumMod val="5000"/>
                <a:lumOff val="95000"/>
              </a:schemeClr>
            </a:gs>
            <a:gs pos="5000">
              <a:schemeClr val="accent2">
                <a:lumMod val="20000"/>
                <a:lumOff val="80000"/>
              </a:schemeClr>
            </a:gs>
            <a:gs pos="63000">
              <a:schemeClr val="accent4">
                <a:lumMod val="40000"/>
                <a:lumOff val="60000"/>
              </a:schemeClr>
            </a:gs>
            <a:gs pos="100000">
              <a:schemeClr val="accent2">
                <a:lumMod val="40000"/>
                <a:lumOff val="60000"/>
              </a:schemeClr>
            </a:gs>
          </a:gsLst>
          <a:lin ang="5400000" scaled="1"/>
        </a:gradFill>
        <a:ln>
          <a:no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190500</xdr:colOff>
      <xdr:row>3</xdr:row>
      <xdr:rowOff>50800</xdr:rowOff>
    </xdr:from>
    <xdr:to>
      <xdr:col>8</xdr:col>
      <xdr:colOff>25400</xdr:colOff>
      <xdr:row>5</xdr:row>
      <xdr:rowOff>76200</xdr:rowOff>
    </xdr:to>
    <xdr:sp macro="" textlink="">
      <xdr:nvSpPr>
        <xdr:cNvPr id="3" name="TextBox 2">
          <a:extLst>
            <a:ext uri="{FF2B5EF4-FFF2-40B4-BE49-F238E27FC236}">
              <a16:creationId xmlns:a16="http://schemas.microsoft.com/office/drawing/2014/main" id="{00000000-0008-0000-0300-000003000000}"/>
            </a:ext>
          </a:extLst>
        </xdr:cNvPr>
        <xdr:cNvSpPr txBox="1"/>
      </xdr:nvSpPr>
      <xdr:spPr>
        <a:xfrm>
          <a:off x="800100" y="622300"/>
          <a:ext cx="4102100" cy="406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accent2">
                  <a:lumMod val="50000"/>
                </a:schemeClr>
              </a:solidFill>
              <a:latin typeface="Calisto MT" panose="02040603050505030304" pitchFamily="18" charset="0"/>
            </a:rPr>
            <a:t>CHOCOLATE PROJECT</a:t>
          </a:r>
          <a:r>
            <a:rPr lang="en-US" sz="1600" b="1" baseline="0">
              <a:solidFill>
                <a:schemeClr val="accent2">
                  <a:lumMod val="50000"/>
                </a:schemeClr>
              </a:solidFill>
              <a:latin typeface="Calisto MT" panose="02040603050505030304" pitchFamily="18" charset="0"/>
            </a:rPr>
            <a:t> PORTFOLIO </a:t>
          </a:r>
          <a:endParaRPr lang="en-US" sz="1600" b="1">
            <a:solidFill>
              <a:schemeClr val="accent2">
                <a:lumMod val="50000"/>
              </a:schemeClr>
            </a:solidFill>
            <a:latin typeface="Calisto MT" panose="02040603050505030304" pitchFamily="18" charset="0"/>
          </a:endParaRPr>
        </a:p>
      </xdr:txBody>
    </xdr:sp>
    <xdr:clientData/>
  </xdr:twoCellAnchor>
  <xdr:twoCellAnchor>
    <xdr:from>
      <xdr:col>1</xdr:col>
      <xdr:colOff>228600</xdr:colOff>
      <xdr:row>0</xdr:row>
      <xdr:rowOff>50800</xdr:rowOff>
    </xdr:from>
    <xdr:to>
      <xdr:col>11</xdr:col>
      <xdr:colOff>266700</xdr:colOff>
      <xdr:row>3</xdr:row>
      <xdr:rowOff>177800</xdr:rowOff>
    </xdr:to>
    <xdr:sp macro="" textlink="">
      <xdr:nvSpPr>
        <xdr:cNvPr id="4" name="TextBox 3">
          <a:extLst>
            <a:ext uri="{FF2B5EF4-FFF2-40B4-BE49-F238E27FC236}">
              <a16:creationId xmlns:a16="http://schemas.microsoft.com/office/drawing/2014/main" id="{00000000-0008-0000-0300-000004000000}"/>
            </a:ext>
          </a:extLst>
        </xdr:cNvPr>
        <xdr:cNvSpPr txBox="1"/>
      </xdr:nvSpPr>
      <xdr:spPr>
        <a:xfrm>
          <a:off x="838200" y="50800"/>
          <a:ext cx="6134100" cy="698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300" b="1">
              <a:solidFill>
                <a:schemeClr val="accent2">
                  <a:lumMod val="50000"/>
                </a:schemeClr>
              </a:solidFill>
              <a:latin typeface="Calisto MT" panose="02040603050505030304" pitchFamily="18" charset="0"/>
            </a:rPr>
            <a:t>Executive</a:t>
          </a:r>
          <a:r>
            <a:rPr lang="en-US" sz="3300" b="1" baseline="0">
              <a:solidFill>
                <a:schemeClr val="accent2">
                  <a:lumMod val="50000"/>
                </a:schemeClr>
              </a:solidFill>
              <a:latin typeface="Calisto MT" panose="02040603050505030304" pitchFamily="18" charset="0"/>
            </a:rPr>
            <a:t> Financial Dashboard</a:t>
          </a:r>
          <a:endParaRPr lang="en-US" sz="3300" b="1">
            <a:solidFill>
              <a:schemeClr val="accent2">
                <a:lumMod val="50000"/>
              </a:schemeClr>
            </a:solidFill>
            <a:latin typeface="Calisto MT" panose="02040603050505030304" pitchFamily="18" charset="0"/>
          </a:endParaRPr>
        </a:p>
      </xdr:txBody>
    </xdr:sp>
    <xdr:clientData/>
  </xdr:twoCellAnchor>
  <xdr:twoCellAnchor editAs="oneCell">
    <xdr:from>
      <xdr:col>1</xdr:col>
      <xdr:colOff>174625</xdr:colOff>
      <xdr:row>30</xdr:row>
      <xdr:rowOff>98425</xdr:rowOff>
    </xdr:from>
    <xdr:to>
      <xdr:col>4</xdr:col>
      <xdr:colOff>174625</xdr:colOff>
      <xdr:row>43</xdr:row>
      <xdr:rowOff>146050</xdr:rowOff>
    </xdr:to>
    <mc:AlternateContent xmlns:mc="http://schemas.openxmlformats.org/markup-compatibility/2006" xmlns:a14="http://schemas.microsoft.com/office/drawing/2010/main">
      <mc:Choice Requires="a14">
        <xdr:graphicFrame macro="">
          <xdr:nvGraphicFramePr>
            <xdr:cNvPr id="5" name="Sales Person 1">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microsoft.com/office/drawing/2010/slicer">
              <sle:slicer xmlns:sle="http://schemas.microsoft.com/office/drawing/2010/slicer" name="Sales Person 1"/>
            </a:graphicData>
          </a:graphic>
        </xdr:graphicFrame>
      </mc:Choice>
      <mc:Fallback xmlns="">
        <xdr:sp macro="" textlink="">
          <xdr:nvSpPr>
            <xdr:cNvPr id="0" name=""/>
            <xdr:cNvSpPr>
              <a:spLocks noTextEdit="1"/>
            </xdr:cNvSpPr>
          </xdr:nvSpPr>
          <xdr:spPr>
            <a:xfrm>
              <a:off x="785202" y="5959963"/>
              <a:ext cx="1831731" cy="2587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180975</xdr:colOff>
      <xdr:row>6</xdr:row>
      <xdr:rowOff>66675</xdr:rowOff>
    </xdr:from>
    <xdr:to>
      <xdr:col>4</xdr:col>
      <xdr:colOff>180975</xdr:colOff>
      <xdr:row>16</xdr:row>
      <xdr:rowOff>114300</xdr:rowOff>
    </xdr:to>
    <mc:AlternateContent xmlns:mc="http://schemas.openxmlformats.org/markup-compatibility/2006" xmlns:a14="http://schemas.microsoft.com/office/drawing/2010/main">
      <mc:Choice Requires="a14">
        <xdr:graphicFrame macro="">
          <xdr:nvGraphicFramePr>
            <xdr:cNvPr id="6" name="Geography 1">
              <a:extLst>
                <a:ext uri="{FF2B5EF4-FFF2-40B4-BE49-F238E27FC236}">
                  <a16:creationId xmlns:a16="http://schemas.microsoft.com/office/drawing/2014/main" id="{00000000-0008-0000-0300-000006000000}"/>
                </a:ext>
              </a:extLst>
            </xdr:cNvPr>
            <xdr:cNvGraphicFramePr/>
          </xdr:nvGraphicFramePr>
          <xdr:xfrm>
            <a:off x="0" y="0"/>
            <a:ext cx="0" cy="0"/>
          </xdr:xfrm>
          <a:graphic>
            <a:graphicData uri="http://schemas.microsoft.com/office/drawing/2010/slicer">
              <sle:slicer xmlns:sle="http://schemas.microsoft.com/office/drawing/2010/slicer" name="Geography 1"/>
            </a:graphicData>
          </a:graphic>
        </xdr:graphicFrame>
      </mc:Choice>
      <mc:Fallback xmlns="">
        <xdr:sp macro="" textlink="">
          <xdr:nvSpPr>
            <xdr:cNvPr id="0" name=""/>
            <xdr:cNvSpPr>
              <a:spLocks noTextEdit="1"/>
            </xdr:cNvSpPr>
          </xdr:nvSpPr>
          <xdr:spPr>
            <a:xfrm>
              <a:off x="791552" y="1238983"/>
              <a:ext cx="1831731" cy="20014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187325</xdr:colOff>
      <xdr:row>17</xdr:row>
      <xdr:rowOff>3175</xdr:rowOff>
    </xdr:from>
    <xdr:to>
      <xdr:col>4</xdr:col>
      <xdr:colOff>187325</xdr:colOff>
      <xdr:row>30</xdr:row>
      <xdr:rowOff>50800</xdr:rowOff>
    </xdr:to>
    <mc:AlternateContent xmlns:mc="http://schemas.openxmlformats.org/markup-compatibility/2006" xmlns:a14="http://schemas.microsoft.com/office/drawing/2010/main">
      <mc:Choice Requires="a14">
        <xdr:graphicFrame macro="">
          <xdr:nvGraphicFramePr>
            <xdr:cNvPr id="7" name="Product 1">
              <a:extLst>
                <a:ext uri="{FF2B5EF4-FFF2-40B4-BE49-F238E27FC236}">
                  <a16:creationId xmlns:a16="http://schemas.microsoft.com/office/drawing/2014/main" id="{00000000-0008-0000-0300-000007000000}"/>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797902" y="3324713"/>
              <a:ext cx="1831731" cy="2587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330200</xdr:colOff>
      <xdr:row>0</xdr:row>
      <xdr:rowOff>50800</xdr:rowOff>
    </xdr:from>
    <xdr:to>
      <xdr:col>15</xdr:col>
      <xdr:colOff>393700</xdr:colOff>
      <xdr:row>7</xdr:row>
      <xdr:rowOff>127000</xdr:rowOff>
    </xdr:to>
    <xdr:sp macro="" textlink="">
      <xdr:nvSpPr>
        <xdr:cNvPr id="8" name="Rounded Rectangle 7">
          <a:extLst>
            <a:ext uri="{FF2B5EF4-FFF2-40B4-BE49-F238E27FC236}">
              <a16:creationId xmlns:a16="http://schemas.microsoft.com/office/drawing/2014/main" id="{00000000-0008-0000-0300-000008000000}"/>
            </a:ext>
          </a:extLst>
        </xdr:cNvPr>
        <xdr:cNvSpPr/>
      </xdr:nvSpPr>
      <xdr:spPr>
        <a:xfrm>
          <a:off x="7035800" y="50800"/>
          <a:ext cx="2501900" cy="1409700"/>
        </a:xfrm>
        <a:prstGeom prst="roundRect">
          <a:avLst/>
        </a:prstGeom>
        <a:gradFill>
          <a:gsLst>
            <a:gs pos="68000">
              <a:srgbClr val="FBF0CB"/>
            </a:gs>
            <a:gs pos="100000">
              <a:schemeClr val="accent1">
                <a:lumMod val="5000"/>
                <a:lumOff val="95000"/>
              </a:schemeClr>
            </a:gs>
            <a:gs pos="5000">
              <a:schemeClr val="accent2">
                <a:lumMod val="20000"/>
                <a:lumOff val="80000"/>
              </a:schemeClr>
            </a:gs>
            <a:gs pos="50000">
              <a:schemeClr val="accent2">
                <a:lumMod val="60000"/>
                <a:lumOff val="40000"/>
              </a:schemeClr>
            </a:gs>
            <a:gs pos="32000">
              <a:schemeClr val="accent4">
                <a:lumMod val="40000"/>
                <a:lumOff val="60000"/>
              </a:schemeClr>
            </a:gs>
            <a:gs pos="96000">
              <a:schemeClr val="accent2">
                <a:lumMod val="75000"/>
              </a:schemeClr>
            </a:gs>
          </a:gsLst>
          <a:lin ang="5400000" scaled="1"/>
        </a:gradFill>
        <a:ln>
          <a:solidFill>
            <a:schemeClr val="accent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38100</xdr:colOff>
      <xdr:row>0</xdr:row>
      <xdr:rowOff>88900</xdr:rowOff>
    </xdr:from>
    <xdr:to>
      <xdr:col>20</xdr:col>
      <xdr:colOff>101600</xdr:colOff>
      <xdr:row>7</xdr:row>
      <xdr:rowOff>165100</xdr:rowOff>
    </xdr:to>
    <xdr:sp macro="" textlink="">
      <xdr:nvSpPr>
        <xdr:cNvPr id="9" name="Rounded Rectangle 8">
          <a:extLst>
            <a:ext uri="{FF2B5EF4-FFF2-40B4-BE49-F238E27FC236}">
              <a16:creationId xmlns:a16="http://schemas.microsoft.com/office/drawing/2014/main" id="{00000000-0008-0000-0300-000009000000}"/>
            </a:ext>
          </a:extLst>
        </xdr:cNvPr>
        <xdr:cNvSpPr/>
      </xdr:nvSpPr>
      <xdr:spPr>
        <a:xfrm>
          <a:off x="9791700" y="88900"/>
          <a:ext cx="2501900" cy="1409700"/>
        </a:xfrm>
        <a:prstGeom prst="roundRect">
          <a:avLst/>
        </a:prstGeom>
        <a:gradFill>
          <a:gsLst>
            <a:gs pos="68000">
              <a:srgbClr val="FBF0CB"/>
            </a:gs>
            <a:gs pos="100000">
              <a:schemeClr val="accent1">
                <a:lumMod val="5000"/>
                <a:lumOff val="95000"/>
              </a:schemeClr>
            </a:gs>
            <a:gs pos="5000">
              <a:schemeClr val="accent2">
                <a:lumMod val="20000"/>
                <a:lumOff val="80000"/>
              </a:schemeClr>
            </a:gs>
            <a:gs pos="50000">
              <a:schemeClr val="accent2">
                <a:lumMod val="60000"/>
                <a:lumOff val="40000"/>
              </a:schemeClr>
            </a:gs>
            <a:gs pos="32000">
              <a:schemeClr val="accent4">
                <a:lumMod val="40000"/>
                <a:lumOff val="60000"/>
              </a:schemeClr>
            </a:gs>
            <a:gs pos="96000">
              <a:schemeClr val="accent2">
                <a:lumMod val="75000"/>
              </a:schemeClr>
            </a:gs>
          </a:gsLst>
          <a:lin ang="5400000" scaled="1"/>
        </a:gradFill>
        <a:ln>
          <a:solidFill>
            <a:schemeClr val="accent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355600</xdr:colOff>
      <xdr:row>0</xdr:row>
      <xdr:rowOff>69850</xdr:rowOff>
    </xdr:from>
    <xdr:to>
      <xdr:col>24</xdr:col>
      <xdr:colOff>419100</xdr:colOff>
      <xdr:row>7</xdr:row>
      <xdr:rowOff>146050</xdr:rowOff>
    </xdr:to>
    <xdr:sp macro="" textlink="">
      <xdr:nvSpPr>
        <xdr:cNvPr id="10" name="Rounded Rectangle 9">
          <a:extLst>
            <a:ext uri="{FF2B5EF4-FFF2-40B4-BE49-F238E27FC236}">
              <a16:creationId xmlns:a16="http://schemas.microsoft.com/office/drawing/2014/main" id="{00000000-0008-0000-0300-00000A000000}"/>
            </a:ext>
          </a:extLst>
        </xdr:cNvPr>
        <xdr:cNvSpPr/>
      </xdr:nvSpPr>
      <xdr:spPr>
        <a:xfrm>
          <a:off x="12547600" y="69850"/>
          <a:ext cx="2501900" cy="1409700"/>
        </a:xfrm>
        <a:prstGeom prst="roundRect">
          <a:avLst/>
        </a:prstGeom>
        <a:gradFill>
          <a:gsLst>
            <a:gs pos="68000">
              <a:srgbClr val="FBF0CB"/>
            </a:gs>
            <a:gs pos="100000">
              <a:schemeClr val="accent1">
                <a:lumMod val="5000"/>
                <a:lumOff val="95000"/>
              </a:schemeClr>
            </a:gs>
            <a:gs pos="5000">
              <a:schemeClr val="accent2">
                <a:lumMod val="20000"/>
                <a:lumOff val="80000"/>
              </a:schemeClr>
            </a:gs>
            <a:gs pos="50000">
              <a:schemeClr val="accent2">
                <a:lumMod val="60000"/>
                <a:lumOff val="40000"/>
              </a:schemeClr>
            </a:gs>
            <a:gs pos="32000">
              <a:schemeClr val="accent4">
                <a:lumMod val="40000"/>
                <a:lumOff val="60000"/>
              </a:schemeClr>
            </a:gs>
            <a:gs pos="96000">
              <a:schemeClr val="accent2">
                <a:lumMod val="75000"/>
              </a:schemeClr>
            </a:gs>
          </a:gsLst>
          <a:lin ang="5400000" scaled="1"/>
        </a:gradFill>
        <a:ln>
          <a:solidFill>
            <a:schemeClr val="accent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419100</xdr:colOff>
      <xdr:row>0</xdr:row>
      <xdr:rowOff>165100</xdr:rowOff>
    </xdr:from>
    <xdr:to>
      <xdr:col>15</xdr:col>
      <xdr:colOff>304800</xdr:colOff>
      <xdr:row>3</xdr:row>
      <xdr:rowOff>50800</xdr:rowOff>
    </xdr:to>
    <xdr:sp macro="" textlink="">
      <xdr:nvSpPr>
        <xdr:cNvPr id="12" name="TextBox 11">
          <a:extLst>
            <a:ext uri="{FF2B5EF4-FFF2-40B4-BE49-F238E27FC236}">
              <a16:creationId xmlns:a16="http://schemas.microsoft.com/office/drawing/2014/main" id="{00000000-0008-0000-0300-00000C000000}"/>
            </a:ext>
          </a:extLst>
        </xdr:cNvPr>
        <xdr:cNvSpPr txBox="1"/>
      </xdr:nvSpPr>
      <xdr:spPr>
        <a:xfrm>
          <a:off x="7124700" y="165100"/>
          <a:ext cx="232410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latin typeface="Calisto MT" panose="02040603050505030304" pitchFamily="18" charset="0"/>
            </a:rPr>
            <a:t>TOTAL SALES</a:t>
          </a:r>
        </a:p>
      </xdr:txBody>
    </xdr:sp>
    <xdr:clientData/>
  </xdr:twoCellAnchor>
  <xdr:twoCellAnchor>
    <xdr:from>
      <xdr:col>11</xdr:col>
      <xdr:colOff>431800</xdr:colOff>
      <xdr:row>3</xdr:row>
      <xdr:rowOff>152400</xdr:rowOff>
    </xdr:from>
    <xdr:to>
      <xdr:col>15</xdr:col>
      <xdr:colOff>317500</xdr:colOff>
      <xdr:row>7</xdr:row>
      <xdr:rowOff>25400</xdr:rowOff>
    </xdr:to>
    <xdr:sp macro="" textlink="'Pivot Tables'!C30">
      <xdr:nvSpPr>
        <xdr:cNvPr id="13" name="TextBox 12">
          <a:extLst>
            <a:ext uri="{FF2B5EF4-FFF2-40B4-BE49-F238E27FC236}">
              <a16:creationId xmlns:a16="http://schemas.microsoft.com/office/drawing/2014/main" id="{00000000-0008-0000-0300-00000D000000}"/>
            </a:ext>
          </a:extLst>
        </xdr:cNvPr>
        <xdr:cNvSpPr txBox="1"/>
      </xdr:nvSpPr>
      <xdr:spPr>
        <a:xfrm>
          <a:off x="7137400" y="723900"/>
          <a:ext cx="2324100" cy="635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C7BA514-FAB1-448B-B8EA-987B7DC41F13}" type="TxLink">
            <a:rPr lang="en-US" sz="3200" b="1" i="0" u="none" strike="noStrike">
              <a:solidFill>
                <a:srgbClr val="000000"/>
              </a:solidFill>
              <a:latin typeface="Calibri"/>
              <a:ea typeface="Calibri"/>
              <a:cs typeface="Calibri"/>
            </a:rPr>
            <a:pPr algn="ctr"/>
            <a:t> $680,820 </a:t>
          </a:fld>
          <a:endParaRPr lang="en-US" sz="3200" b="1"/>
        </a:p>
      </xdr:txBody>
    </xdr:sp>
    <xdr:clientData/>
  </xdr:twoCellAnchor>
  <xdr:twoCellAnchor>
    <xdr:from>
      <xdr:col>20</xdr:col>
      <xdr:colOff>444500</xdr:colOff>
      <xdr:row>1</xdr:row>
      <xdr:rowOff>0</xdr:rowOff>
    </xdr:from>
    <xdr:to>
      <xdr:col>24</xdr:col>
      <xdr:colOff>330200</xdr:colOff>
      <xdr:row>3</xdr:row>
      <xdr:rowOff>76200</xdr:rowOff>
    </xdr:to>
    <xdr:sp macro="" textlink="">
      <xdr:nvSpPr>
        <xdr:cNvPr id="14" name="TextBox 13">
          <a:extLst>
            <a:ext uri="{FF2B5EF4-FFF2-40B4-BE49-F238E27FC236}">
              <a16:creationId xmlns:a16="http://schemas.microsoft.com/office/drawing/2014/main" id="{00000000-0008-0000-0300-00000E000000}"/>
            </a:ext>
          </a:extLst>
        </xdr:cNvPr>
        <xdr:cNvSpPr txBox="1"/>
      </xdr:nvSpPr>
      <xdr:spPr>
        <a:xfrm>
          <a:off x="12636500" y="190500"/>
          <a:ext cx="232410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latin typeface="Calisto MT" panose="02040603050505030304" pitchFamily="18" charset="0"/>
            </a:rPr>
            <a:t>TOTAL LOSS</a:t>
          </a:r>
        </a:p>
      </xdr:txBody>
    </xdr:sp>
    <xdr:clientData/>
  </xdr:twoCellAnchor>
  <xdr:twoCellAnchor>
    <xdr:from>
      <xdr:col>20</xdr:col>
      <xdr:colOff>457200</xdr:colOff>
      <xdr:row>3</xdr:row>
      <xdr:rowOff>152400</xdr:rowOff>
    </xdr:from>
    <xdr:to>
      <xdr:col>24</xdr:col>
      <xdr:colOff>342900</xdr:colOff>
      <xdr:row>7</xdr:row>
      <xdr:rowOff>0</xdr:rowOff>
    </xdr:to>
    <xdr:sp macro="" textlink="'Pivot Tables'!AA17">
      <xdr:nvSpPr>
        <xdr:cNvPr id="15" name="TextBox 14">
          <a:extLst>
            <a:ext uri="{FF2B5EF4-FFF2-40B4-BE49-F238E27FC236}">
              <a16:creationId xmlns:a16="http://schemas.microsoft.com/office/drawing/2014/main" id="{00000000-0008-0000-0300-00000F000000}"/>
            </a:ext>
          </a:extLst>
        </xdr:cNvPr>
        <xdr:cNvSpPr txBox="1"/>
      </xdr:nvSpPr>
      <xdr:spPr>
        <a:xfrm>
          <a:off x="12649200" y="723900"/>
          <a:ext cx="2324100"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2899394-8060-4BE5-8CA5-FB85F8DF3AC3}" type="TxLink">
            <a:rPr lang="en-US" sz="3200" b="1" i="0" u="none" strike="noStrike">
              <a:solidFill>
                <a:srgbClr val="000000"/>
              </a:solidFill>
              <a:latin typeface="Calibri"/>
              <a:ea typeface="Calibri"/>
              <a:cs typeface="Calibri"/>
            </a:rPr>
            <a:pPr algn="ctr"/>
            <a:t>-17,150K</a:t>
          </a:fld>
          <a:endParaRPr lang="en-US" sz="3200" b="1"/>
        </a:p>
      </xdr:txBody>
    </xdr:sp>
    <xdr:clientData/>
  </xdr:twoCellAnchor>
  <xdr:twoCellAnchor>
    <xdr:from>
      <xdr:col>16</xdr:col>
      <xdr:colOff>127000</xdr:colOff>
      <xdr:row>3</xdr:row>
      <xdr:rowOff>152400</xdr:rowOff>
    </xdr:from>
    <xdr:to>
      <xdr:col>20</xdr:col>
      <xdr:colOff>12700</xdr:colOff>
      <xdr:row>7</xdr:row>
      <xdr:rowOff>12700</xdr:rowOff>
    </xdr:to>
    <xdr:sp macro="" textlink="'Pivot Tables'!Q18">
      <xdr:nvSpPr>
        <xdr:cNvPr id="16" name="TextBox 15">
          <a:extLst>
            <a:ext uri="{FF2B5EF4-FFF2-40B4-BE49-F238E27FC236}">
              <a16:creationId xmlns:a16="http://schemas.microsoft.com/office/drawing/2014/main" id="{00000000-0008-0000-0300-000010000000}"/>
            </a:ext>
          </a:extLst>
        </xdr:cNvPr>
        <xdr:cNvSpPr txBox="1"/>
      </xdr:nvSpPr>
      <xdr:spPr>
        <a:xfrm>
          <a:off x="9880600" y="723900"/>
          <a:ext cx="2324100" cy="622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165706A-BAB0-406D-939A-65BBE88B07F7}" type="TxLink">
            <a:rPr lang="en-US" sz="3200" b="1" i="0" u="none" strike="noStrike">
              <a:solidFill>
                <a:srgbClr val="000000"/>
              </a:solidFill>
              <a:latin typeface="Calibri"/>
              <a:ea typeface="Calibri"/>
              <a:cs typeface="Calibri"/>
            </a:rPr>
            <a:pPr/>
            <a:t> $273,280 </a:t>
          </a:fld>
          <a:endParaRPr lang="en-US" sz="3200" b="1"/>
        </a:p>
      </xdr:txBody>
    </xdr:sp>
    <xdr:clientData/>
  </xdr:twoCellAnchor>
  <xdr:twoCellAnchor>
    <xdr:from>
      <xdr:col>16</xdr:col>
      <xdr:colOff>114300</xdr:colOff>
      <xdr:row>0</xdr:row>
      <xdr:rowOff>177800</xdr:rowOff>
    </xdr:from>
    <xdr:to>
      <xdr:col>20</xdr:col>
      <xdr:colOff>0</xdr:colOff>
      <xdr:row>3</xdr:row>
      <xdr:rowOff>63500</xdr:rowOff>
    </xdr:to>
    <xdr:sp macro="" textlink="">
      <xdr:nvSpPr>
        <xdr:cNvPr id="17" name="TextBox 16">
          <a:extLst>
            <a:ext uri="{FF2B5EF4-FFF2-40B4-BE49-F238E27FC236}">
              <a16:creationId xmlns:a16="http://schemas.microsoft.com/office/drawing/2014/main" id="{00000000-0008-0000-0300-000011000000}"/>
            </a:ext>
          </a:extLst>
        </xdr:cNvPr>
        <xdr:cNvSpPr txBox="1"/>
      </xdr:nvSpPr>
      <xdr:spPr>
        <a:xfrm>
          <a:off x="9867900" y="177800"/>
          <a:ext cx="232410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algn="ctr" defTabSz="914400" eaLnBrk="1" fontAlgn="auto" latinLnBrk="0" hangingPunct="1">
            <a:lnSpc>
              <a:spcPct val="100000"/>
            </a:lnSpc>
            <a:spcBef>
              <a:spcPts val="0"/>
            </a:spcBef>
            <a:spcAft>
              <a:spcPts val="0"/>
            </a:spcAft>
            <a:buClrTx/>
            <a:buSzTx/>
            <a:buFontTx/>
            <a:buNone/>
            <a:tabLst/>
            <a:defRPr/>
          </a:pPr>
          <a:r>
            <a:rPr lang="en-US" sz="1800" b="1">
              <a:effectLst/>
              <a:latin typeface="Calisto MT" panose="02040603050505030304" pitchFamily="18" charset="0"/>
            </a:rPr>
            <a:t>TOTAL</a:t>
          </a:r>
          <a:r>
            <a:rPr lang="en-US" sz="1800" b="1" baseline="0">
              <a:effectLst/>
              <a:latin typeface="Calisto MT" panose="02040603050505030304" pitchFamily="18" charset="0"/>
            </a:rPr>
            <a:t> PROFIT</a:t>
          </a:r>
          <a:endParaRPr lang="en-US" sz="1800" b="1">
            <a:effectLst/>
            <a:latin typeface="Calisto MT" panose="02040603050505030304" pitchFamily="18" charset="0"/>
          </a:endParaRPr>
        </a:p>
        <a:p>
          <a:endParaRPr lang="en-US" sz="1100"/>
        </a:p>
      </xdr:txBody>
    </xdr:sp>
    <xdr:clientData/>
  </xdr:twoCellAnchor>
  <xdr:twoCellAnchor>
    <xdr:from>
      <xdr:col>24</xdr:col>
      <xdr:colOff>571500</xdr:colOff>
      <xdr:row>0</xdr:row>
      <xdr:rowOff>50800</xdr:rowOff>
    </xdr:from>
    <xdr:to>
      <xdr:col>29</xdr:col>
      <xdr:colOff>25400</xdr:colOff>
      <xdr:row>7</xdr:row>
      <xdr:rowOff>127000</xdr:rowOff>
    </xdr:to>
    <xdr:sp macro="" textlink="">
      <xdr:nvSpPr>
        <xdr:cNvPr id="21" name="Rounded Rectangle 20">
          <a:extLst>
            <a:ext uri="{FF2B5EF4-FFF2-40B4-BE49-F238E27FC236}">
              <a16:creationId xmlns:a16="http://schemas.microsoft.com/office/drawing/2014/main" id="{00000000-0008-0000-0300-000015000000}"/>
            </a:ext>
          </a:extLst>
        </xdr:cNvPr>
        <xdr:cNvSpPr/>
      </xdr:nvSpPr>
      <xdr:spPr>
        <a:xfrm>
          <a:off x="15201900" y="50800"/>
          <a:ext cx="2501900" cy="1409700"/>
        </a:xfrm>
        <a:prstGeom prst="roundRect">
          <a:avLst/>
        </a:prstGeom>
        <a:gradFill>
          <a:gsLst>
            <a:gs pos="68000">
              <a:srgbClr val="FBF0CB"/>
            </a:gs>
            <a:gs pos="100000">
              <a:schemeClr val="accent1">
                <a:lumMod val="5000"/>
                <a:lumOff val="95000"/>
              </a:schemeClr>
            </a:gs>
            <a:gs pos="5000">
              <a:schemeClr val="accent2">
                <a:lumMod val="20000"/>
                <a:lumOff val="80000"/>
              </a:schemeClr>
            </a:gs>
            <a:gs pos="50000">
              <a:schemeClr val="accent2">
                <a:lumMod val="60000"/>
                <a:lumOff val="40000"/>
              </a:schemeClr>
            </a:gs>
            <a:gs pos="32000">
              <a:schemeClr val="accent4">
                <a:lumMod val="40000"/>
                <a:lumOff val="60000"/>
              </a:schemeClr>
            </a:gs>
            <a:gs pos="96000">
              <a:schemeClr val="accent2">
                <a:lumMod val="75000"/>
              </a:schemeClr>
            </a:gs>
          </a:gsLst>
          <a:lin ang="5400000" scaled="1"/>
        </a:gradFill>
        <a:ln>
          <a:solidFill>
            <a:schemeClr val="accent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25</xdr:col>
      <xdr:colOff>76200</xdr:colOff>
      <xdr:row>1</xdr:row>
      <xdr:rowOff>12700</xdr:rowOff>
    </xdr:from>
    <xdr:to>
      <xdr:col>28</xdr:col>
      <xdr:colOff>571500</xdr:colOff>
      <xdr:row>3</xdr:row>
      <xdr:rowOff>88900</xdr:rowOff>
    </xdr:to>
    <xdr:sp macro="" textlink="">
      <xdr:nvSpPr>
        <xdr:cNvPr id="23" name="TextBox 22">
          <a:extLst>
            <a:ext uri="{FF2B5EF4-FFF2-40B4-BE49-F238E27FC236}">
              <a16:creationId xmlns:a16="http://schemas.microsoft.com/office/drawing/2014/main" id="{00000000-0008-0000-0300-000017000000}"/>
            </a:ext>
          </a:extLst>
        </xdr:cNvPr>
        <xdr:cNvSpPr txBox="1"/>
      </xdr:nvSpPr>
      <xdr:spPr>
        <a:xfrm>
          <a:off x="15316200" y="203200"/>
          <a:ext cx="232410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latin typeface="Calisto MT" panose="02040603050505030304" pitchFamily="18" charset="0"/>
            </a:rPr>
            <a:t>AVERAGE</a:t>
          </a:r>
          <a:r>
            <a:rPr lang="en-US" sz="1600" b="1" baseline="0">
              <a:latin typeface="Calisto MT" panose="02040603050505030304" pitchFamily="18" charset="0"/>
            </a:rPr>
            <a:t> OF</a:t>
          </a:r>
          <a:r>
            <a:rPr lang="en-US" sz="1600" b="1">
              <a:latin typeface="Calisto MT" panose="02040603050505030304" pitchFamily="18" charset="0"/>
            </a:rPr>
            <a:t> SALES</a:t>
          </a:r>
        </a:p>
      </xdr:txBody>
    </xdr:sp>
    <xdr:clientData/>
  </xdr:twoCellAnchor>
  <xdr:twoCellAnchor>
    <xdr:from>
      <xdr:col>25</xdr:col>
      <xdr:colOff>63500</xdr:colOff>
      <xdr:row>3</xdr:row>
      <xdr:rowOff>165100</xdr:rowOff>
    </xdr:from>
    <xdr:to>
      <xdr:col>28</xdr:col>
      <xdr:colOff>558800</xdr:colOff>
      <xdr:row>6</xdr:row>
      <xdr:rowOff>139700</xdr:rowOff>
    </xdr:to>
    <xdr:sp macro="" textlink="'Pivot Tables'!C32">
      <xdr:nvSpPr>
        <xdr:cNvPr id="24" name="TextBox 23">
          <a:extLst>
            <a:ext uri="{FF2B5EF4-FFF2-40B4-BE49-F238E27FC236}">
              <a16:creationId xmlns:a16="http://schemas.microsoft.com/office/drawing/2014/main" id="{00000000-0008-0000-0300-000018000000}"/>
            </a:ext>
          </a:extLst>
        </xdr:cNvPr>
        <xdr:cNvSpPr txBox="1"/>
      </xdr:nvSpPr>
      <xdr:spPr>
        <a:xfrm>
          <a:off x="15303500" y="736600"/>
          <a:ext cx="2324100" cy="546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97A88D4-CF80-425E-8AEA-657387187FFE}" type="TxLink">
            <a:rPr lang="en-US" sz="2800" b="1" i="0" u="none" strike="noStrike">
              <a:solidFill>
                <a:srgbClr val="000000"/>
              </a:solidFill>
              <a:latin typeface="Calibri"/>
              <a:ea typeface="Calibri"/>
              <a:cs typeface="Calibri"/>
            </a:rPr>
            <a:pPr algn="ctr"/>
            <a:t>123,785K</a:t>
          </a:fld>
          <a:endParaRPr lang="en-US" sz="4400" b="1">
            <a:latin typeface="Calisto MT" panose="02040603050505030304" pitchFamily="18" charset="0"/>
          </a:endParaRPr>
        </a:p>
      </xdr:txBody>
    </xdr:sp>
    <xdr:clientData/>
  </xdr:twoCellAnchor>
  <xdr:twoCellAnchor>
    <xdr:from>
      <xdr:col>14</xdr:col>
      <xdr:colOff>165099</xdr:colOff>
      <xdr:row>31</xdr:row>
      <xdr:rowOff>0</xdr:rowOff>
    </xdr:from>
    <xdr:to>
      <xdr:col>29</xdr:col>
      <xdr:colOff>190500</xdr:colOff>
      <xdr:row>44</xdr:row>
      <xdr:rowOff>88900</xdr:rowOff>
    </xdr:to>
    <xdr:graphicFrame macro="">
      <xdr:nvGraphicFramePr>
        <xdr:cNvPr id="25" name="Chart 24">
          <a:extLst>
            <a:ext uri="{FF2B5EF4-FFF2-40B4-BE49-F238E27FC236}">
              <a16:creationId xmlns:a16="http://schemas.microsoft.com/office/drawing/2014/main" id="{00000000-0008-0000-0300-00001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482600</xdr:colOff>
      <xdr:row>16</xdr:row>
      <xdr:rowOff>101600</xdr:rowOff>
    </xdr:from>
    <xdr:to>
      <xdr:col>29</xdr:col>
      <xdr:colOff>177800</xdr:colOff>
      <xdr:row>30</xdr:row>
      <xdr:rowOff>177800</xdr:rowOff>
    </xdr:to>
    <xdr:graphicFrame macro="">
      <xdr:nvGraphicFramePr>
        <xdr:cNvPr id="26" name="Chart 25">
          <a:extLst>
            <a:ext uri="{FF2B5EF4-FFF2-40B4-BE49-F238E27FC236}">
              <a16:creationId xmlns:a16="http://schemas.microsoft.com/office/drawing/2014/main" id="{00000000-0008-0000-03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479424</xdr:colOff>
      <xdr:row>28</xdr:row>
      <xdr:rowOff>139700</xdr:rowOff>
    </xdr:from>
    <xdr:to>
      <xdr:col>14</xdr:col>
      <xdr:colOff>228599</xdr:colOff>
      <xdr:row>43</xdr:row>
      <xdr:rowOff>25400</xdr:rowOff>
    </xdr:to>
    <xdr:graphicFrame macro="">
      <xdr:nvGraphicFramePr>
        <xdr:cNvPr id="27" name="Chart 26">
          <a:extLst>
            <a:ext uri="{FF2B5EF4-FFF2-40B4-BE49-F238E27FC236}">
              <a16:creationId xmlns:a16="http://schemas.microsoft.com/office/drawing/2014/main" id="{00000000-0008-0000-0300-00001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428625</xdr:colOff>
      <xdr:row>14</xdr:row>
      <xdr:rowOff>0</xdr:rowOff>
    </xdr:from>
    <xdr:to>
      <xdr:col>9</xdr:col>
      <xdr:colOff>604838</xdr:colOff>
      <xdr:row>28</xdr:row>
      <xdr:rowOff>76200</xdr:rowOff>
    </xdr:to>
    <xdr:graphicFrame macro="">
      <xdr:nvGraphicFramePr>
        <xdr:cNvPr id="28" name="Chart 27">
          <a:extLst>
            <a:ext uri="{FF2B5EF4-FFF2-40B4-BE49-F238E27FC236}">
              <a16:creationId xmlns:a16="http://schemas.microsoft.com/office/drawing/2014/main" id="{00000000-0008-0000-0300-00001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415925</xdr:colOff>
      <xdr:row>9</xdr:row>
      <xdr:rowOff>114300</xdr:rowOff>
    </xdr:from>
    <xdr:to>
      <xdr:col>21</xdr:col>
      <xdr:colOff>401637</xdr:colOff>
      <xdr:row>29</xdr:row>
      <xdr:rowOff>128587</xdr:rowOff>
    </xdr:to>
    <xdr:graphicFrame macro="">
      <xdr:nvGraphicFramePr>
        <xdr:cNvPr id="30" name="Chart 29">
          <a:extLst>
            <a:ext uri="{FF2B5EF4-FFF2-40B4-BE49-F238E27FC236}">
              <a16:creationId xmlns:a16="http://schemas.microsoft.com/office/drawing/2014/main" id="{00000000-0008-0000-0300-00001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89.438225578706" createdVersion="5" refreshedVersion="5" minRefreshableVersion="3" recordCount="300" xr:uid="{00000000-000A-0000-FFFF-FFFF03000000}">
  <cacheSource type="worksheet">
    <worksheetSource name="Table1"/>
  </cacheSource>
  <cacheFields count="9">
    <cacheField name="Sales Person" numFmtId="0">
      <sharedItems count="10">
        <s v="Ram Mahesh"/>
        <s v="Brien Boise"/>
        <s v="Husein Augar"/>
        <s v="Carla Molina"/>
        <s v="Curtice Advani"/>
        <s v="Ches Bonnell"/>
        <s v="Gigi Bohling"/>
        <s v="Barr Faughny"/>
        <s v="Gunar Cockshoot"/>
        <s v="Oby Sorrel"/>
      </sharedItems>
    </cacheField>
    <cacheField name="Geography" numFmtId="0">
      <sharedItems count="6">
        <s v="New Zealand"/>
        <s v="USA"/>
        <s v="Canada"/>
        <s v="UK"/>
        <s v="Australia"/>
        <s v="India"/>
      </sharedItems>
    </cacheField>
    <cacheField name="Product" numFmtId="0">
      <sharedItems count="22">
        <s v="70% Dark Bites"/>
        <s v="Choco Coated Almonds"/>
        <s v="Almond Choco"/>
        <s v="Drinking Coco"/>
        <s v="White Choc"/>
        <s v="Peanut Butter Cubes"/>
        <s v="Smooth Sliky Salty"/>
        <s v="After Nines"/>
        <s v="50% Dark Bites"/>
        <s v="Eclairs"/>
        <s v="Mint Chip Choco"/>
        <s v="Milk Bars"/>
        <s v="Manuka Honey Choco"/>
        <s v="Orange Choco"/>
        <s v="Fruit &amp; Nut Bars"/>
        <s v="99% Dark &amp; Pure"/>
        <s v="Raspberry Choco"/>
        <s v="85% Dark Bars"/>
        <s v="Organic Choco Syrup"/>
        <s v="Caramel Stuffed Bars"/>
        <s v="Spicy Special Slims"/>
        <s v="Baker's Choco Chips"/>
      </sharedItems>
    </cacheField>
    <cacheField name="Amount" numFmtId="6">
      <sharedItems containsSemiMixedTypes="0" containsString="0" containsNumber="1" containsInteger="1" minValue="0" maxValue="16184"/>
    </cacheField>
    <cacheField name="Units" numFmtId="0">
      <sharedItems containsSemiMixedTypes="0" containsString="0" containsNumber="1" containsInteger="1" minValue="0" maxValue="525"/>
    </cacheField>
    <cacheField name="cost per unit" numFmtId="0">
      <sharedItems containsSemiMixedTypes="0" containsString="0" containsNumber="1" containsInteger="1" minValue="3" maxValue="17"/>
    </cacheField>
    <cacheField name="Cost" numFmtId="0">
      <sharedItems containsSemiMixedTypes="0" containsString="0" containsNumber="1" containsInteger="1" minValue="0" maxValue="8683"/>
    </cacheField>
    <cacheField name="Profit" numFmtId="6">
      <sharedItems containsSemiMixedTypes="0" containsString="0" containsNumber="1" containsInteger="1" minValue="-7885" maxValue="15841"/>
    </cacheField>
    <cacheField name="profit %" numFmtId="9">
      <sharedItems containsSemiMixedTypes="0" containsString="0" containsNumber="1" minValue="-69.333333333333329" maxValue="1"/>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89.441151620369" createdVersion="5" refreshedVersion="5" minRefreshableVersion="3" recordCount="237" xr:uid="{00000000-000A-0000-FFFF-FFFF04000000}">
  <cacheSource type="worksheet">
    <worksheetSource ref="N4:V241" sheet="Data Set"/>
  </cacheSource>
  <cacheFields count="9">
    <cacheField name="Sales Person" numFmtId="0">
      <sharedItems/>
    </cacheField>
    <cacheField name="Geography" numFmtId="0">
      <sharedItems count="6">
        <s v="USA"/>
        <s v="Canada"/>
        <s v="Australia"/>
        <s v="New Zealand"/>
        <s v="India"/>
        <s v="UK"/>
      </sharedItems>
    </cacheField>
    <cacheField name="Product" numFmtId="0">
      <sharedItems count="22">
        <s v="Choco Coated Almonds"/>
        <s v="Drinking Coco"/>
        <s v="Peanut Butter Cubes"/>
        <s v="Smooth Sliky Salty"/>
        <s v="After Nines"/>
        <s v="50% Dark Bites"/>
        <s v="Eclairs"/>
        <s v="Mint Chip Choco"/>
        <s v="Manuka Honey Choco"/>
        <s v="Orange Choco"/>
        <s v="Fruit &amp; Nut Bars"/>
        <s v="99% Dark &amp; Pure"/>
        <s v="Milk Bars"/>
        <s v="85% Dark Bars"/>
        <s v="70% Dark Bites"/>
        <s v="Caramel Stuffed Bars"/>
        <s v="Organic Choco Syrup"/>
        <s v="Raspberry Choco"/>
        <s v="White Choc"/>
        <s v="Baker's Choco Chips"/>
        <s v="Spicy Special Slims"/>
        <s v="Almond Choco"/>
      </sharedItems>
    </cacheField>
    <cacheField name="Amount" numFmtId="6">
      <sharedItems containsSemiMixedTypes="0" containsString="0" containsNumber="1" containsInteger="1" minValue="189" maxValue="16184"/>
    </cacheField>
    <cacheField name="Units" numFmtId="0">
      <sharedItems containsSemiMixedTypes="0" containsString="0" containsNumber="1" containsInteger="1" minValue="0" maxValue="504"/>
    </cacheField>
    <cacheField name="cost per unit" numFmtId="0">
      <sharedItems containsSemiMixedTypes="0" containsString="0" containsNumber="1" containsInteger="1" minValue="3" maxValue="17"/>
    </cacheField>
    <cacheField name="Cost" numFmtId="0">
      <sharedItems containsSemiMixedTypes="0" containsString="0" containsNumber="1" containsInteger="1" minValue="0" maxValue="5344"/>
    </cacheField>
    <cacheField name="Profit" numFmtId="6">
      <sharedItems containsSemiMixedTypes="0" containsString="0" containsNumber="1" containsInteger="1" minValue="5" maxValue="15841"/>
    </cacheField>
    <cacheField name="profit %" numFmtId="9">
      <sharedItems containsSemiMixedTypes="0" containsString="0" containsNumber="1" minValue="3.27653997378768E-3" maxValue="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89.445043171298" createdVersion="5" refreshedVersion="5" minRefreshableVersion="3" recordCount="63" xr:uid="{00000000-000A-0000-FFFF-FFFF05000000}">
  <cacheSource type="worksheet">
    <worksheetSource ref="Y4:AG67" sheet="Data Set"/>
  </cacheSource>
  <cacheFields count="9">
    <cacheField name="Sales Person" numFmtId="0">
      <sharedItems/>
    </cacheField>
    <cacheField name="Geography" numFmtId="0">
      <sharedItems count="6">
        <s v="New Zealand"/>
        <s v="USA"/>
        <s v="UK"/>
        <s v="India"/>
        <s v="Australia"/>
        <s v="Canada"/>
      </sharedItems>
    </cacheField>
    <cacheField name="Product" numFmtId="0">
      <sharedItems count="19">
        <s v="70% Dark Bites"/>
        <s v="Almond Choco"/>
        <s v="White Choc"/>
        <s v="Milk Bars"/>
        <s v="After Nines"/>
        <s v="Raspberry Choco"/>
        <s v="Mint Chip Choco"/>
        <s v="Orange Choco"/>
        <s v="Organic Choco Syrup"/>
        <s v="50% Dark Bites"/>
        <s v="Spicy Special Slims"/>
        <s v="Manuka Honey Choco"/>
        <s v="Smooth Sliky Salty"/>
        <s v="99% Dark &amp; Pure"/>
        <s v="Caramel Stuffed Bars"/>
        <s v="Baker's Choco Chips"/>
        <s v="Peanut Butter Cubes"/>
        <s v="Drinking Coco"/>
        <s v="Choco Coated Almonds"/>
      </sharedItems>
    </cacheField>
    <cacheField name="Amount" numFmtId="6">
      <sharedItems containsSemiMixedTypes="0" containsString="0" containsNumber="1" containsInteger="1" minValue="0" maxValue="5586"/>
    </cacheField>
    <cacheField name="Units" numFmtId="0">
      <sharedItems containsSemiMixedTypes="0" containsString="0" containsNumber="1" containsInteger="1" minValue="21" maxValue="525"/>
    </cacheField>
    <cacheField name="cost per unit" numFmtId="0">
      <sharedItems containsSemiMixedTypes="0" containsString="0" containsNumber="1" containsInteger="1" minValue="6" maxValue="17"/>
    </cacheField>
    <cacheField name="Cost" numFmtId="0">
      <sharedItems containsSemiMixedTypes="0" containsString="0" containsNumber="1" containsInteger="1" minValue="276" maxValue="8683"/>
    </cacheField>
    <cacheField name="Loss" numFmtId="6">
      <sharedItems containsSemiMixedTypes="0" containsString="0" containsNumber="1" containsInteger="1" minValue="-7885" maxValue="-15"/>
    </cacheField>
    <cacheField name="Loss%" numFmtId="9">
      <sharedItems containsSemiMixedTypes="0" containsString="0" containsNumber="1" minValue="-69.333333333333329" maxValue="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300">
  <r>
    <x v="0"/>
    <x v="0"/>
    <x v="0"/>
    <n v="1624"/>
    <n v="114"/>
    <n v="14"/>
    <n v="1652"/>
    <n v="-28"/>
    <n v="-1.7241379310344827E-2"/>
  </r>
  <r>
    <x v="1"/>
    <x v="1"/>
    <x v="1"/>
    <n v="6706"/>
    <n v="459"/>
    <n v="9"/>
    <n v="3970"/>
    <n v="2736"/>
    <n v="0.40799284223083804"/>
  </r>
  <r>
    <x v="2"/>
    <x v="1"/>
    <x v="2"/>
    <n v="959"/>
    <n v="147"/>
    <n v="12"/>
    <n v="1746"/>
    <n v="-787"/>
    <n v="-0.82064650677789364"/>
  </r>
  <r>
    <x v="3"/>
    <x v="2"/>
    <x v="3"/>
    <n v="9632"/>
    <n v="288"/>
    <n v="6"/>
    <n v="1863"/>
    <n v="7769"/>
    <n v="0.80658222591362128"/>
  </r>
  <r>
    <x v="4"/>
    <x v="3"/>
    <x v="4"/>
    <n v="2100"/>
    <n v="414"/>
    <n v="13"/>
    <n v="5444"/>
    <n v="-3344"/>
    <n v="-1.5923809523809525"/>
  </r>
  <r>
    <x v="0"/>
    <x v="1"/>
    <x v="5"/>
    <n v="8869"/>
    <n v="432"/>
    <n v="12"/>
    <n v="5344"/>
    <n v="3525"/>
    <n v="0.39745179839891759"/>
  </r>
  <r>
    <x v="4"/>
    <x v="4"/>
    <x v="6"/>
    <n v="2681"/>
    <n v="54"/>
    <n v="6"/>
    <n v="313"/>
    <n v="2368"/>
    <n v="0.88325251771726965"/>
  </r>
  <r>
    <x v="1"/>
    <x v="1"/>
    <x v="7"/>
    <n v="5012"/>
    <n v="210"/>
    <n v="10"/>
    <n v="2052"/>
    <n v="2960"/>
    <n v="0.59058260175578614"/>
  </r>
  <r>
    <x v="5"/>
    <x v="4"/>
    <x v="8"/>
    <n v="1281"/>
    <n v="75"/>
    <n v="12"/>
    <n v="878"/>
    <n v="404"/>
    <n v="0.31537861046057769"/>
  </r>
  <r>
    <x v="6"/>
    <x v="0"/>
    <x v="8"/>
    <n v="4991"/>
    <n v="12"/>
    <n v="12"/>
    <n v="140"/>
    <n v="4851"/>
    <n v="0.97194950911640954"/>
  </r>
  <r>
    <x v="7"/>
    <x v="3"/>
    <x v="4"/>
    <n v="1785"/>
    <n v="462"/>
    <n v="13"/>
    <n v="6075"/>
    <n v="-4290"/>
    <n v="-2.403361344537815"/>
  </r>
  <r>
    <x v="8"/>
    <x v="0"/>
    <x v="9"/>
    <n v="3983"/>
    <n v="144"/>
    <n v="3"/>
    <n v="448"/>
    <n v="3535"/>
    <n v="0.88752196836555364"/>
  </r>
  <r>
    <x v="2"/>
    <x v="4"/>
    <x v="10"/>
    <n v="2646"/>
    <n v="120"/>
    <n v="9"/>
    <n v="1055"/>
    <n v="1591"/>
    <n v="0.6012849584278156"/>
  </r>
  <r>
    <x v="7"/>
    <x v="5"/>
    <x v="11"/>
    <n v="252"/>
    <n v="54"/>
    <n v="9"/>
    <n v="504"/>
    <n v="-252"/>
    <n v="-1"/>
  </r>
  <r>
    <x v="8"/>
    <x v="1"/>
    <x v="4"/>
    <n v="2464"/>
    <n v="234"/>
    <n v="13"/>
    <n v="3077"/>
    <n v="-613"/>
    <n v="-0.24878246753246752"/>
  </r>
  <r>
    <x v="8"/>
    <x v="1"/>
    <x v="12"/>
    <n v="2114"/>
    <n v="66"/>
    <n v="7"/>
    <n v="473"/>
    <n v="1641"/>
    <n v="0.77625354777672662"/>
  </r>
  <r>
    <x v="4"/>
    <x v="0"/>
    <x v="6"/>
    <n v="7693"/>
    <n v="87"/>
    <n v="6"/>
    <n v="504"/>
    <n v="7189"/>
    <n v="0.93448589626933576"/>
  </r>
  <r>
    <x v="6"/>
    <x v="5"/>
    <x v="13"/>
    <n v="15610"/>
    <n v="339"/>
    <n v="11"/>
    <n v="3600"/>
    <n v="12010"/>
    <n v="0.76937860345932096"/>
  </r>
  <r>
    <x v="3"/>
    <x v="5"/>
    <x v="7"/>
    <n v="336"/>
    <n v="144"/>
    <n v="10"/>
    <n v="1407"/>
    <n v="-1071"/>
    <n v="-3.1875"/>
  </r>
  <r>
    <x v="7"/>
    <x v="3"/>
    <x v="13"/>
    <n v="9443"/>
    <n v="162"/>
    <n v="11"/>
    <n v="1720"/>
    <n v="7723"/>
    <n v="0.81785449539341315"/>
  </r>
  <r>
    <x v="2"/>
    <x v="5"/>
    <x v="14"/>
    <n v="8155"/>
    <n v="90"/>
    <n v="6"/>
    <n v="584"/>
    <n v="7571"/>
    <n v="0.92838749233599016"/>
  </r>
  <r>
    <x v="1"/>
    <x v="4"/>
    <x v="14"/>
    <n v="1701"/>
    <n v="234"/>
    <n v="6"/>
    <n v="1519"/>
    <n v="182"/>
    <n v="0.10699588477366255"/>
  </r>
  <r>
    <x v="9"/>
    <x v="4"/>
    <x v="7"/>
    <n v="2205"/>
    <n v="141"/>
    <n v="10"/>
    <n v="1378"/>
    <n v="827"/>
    <n v="0.3750566893424036"/>
  </r>
  <r>
    <x v="1"/>
    <x v="0"/>
    <x v="15"/>
    <n v="1771"/>
    <n v="204"/>
    <n v="8"/>
    <n v="1559"/>
    <n v="212"/>
    <n v="0.11970638057594579"/>
  </r>
  <r>
    <x v="3"/>
    <x v="1"/>
    <x v="16"/>
    <n v="2114"/>
    <n v="186"/>
    <n v="12"/>
    <n v="2182"/>
    <n v="-68"/>
    <n v="-3.2166508987701042E-2"/>
  </r>
  <r>
    <x v="3"/>
    <x v="2"/>
    <x v="11"/>
    <n v="10311"/>
    <n v="231"/>
    <n v="9"/>
    <n v="2155"/>
    <n v="8156"/>
    <n v="0.79099990301619627"/>
  </r>
  <r>
    <x v="8"/>
    <x v="3"/>
    <x v="10"/>
    <n v="21"/>
    <n v="168"/>
    <n v="9"/>
    <n v="1477"/>
    <n v="-1456"/>
    <n v="-69.333333333333329"/>
  </r>
  <r>
    <x v="9"/>
    <x v="1"/>
    <x v="13"/>
    <n v="1974"/>
    <n v="195"/>
    <n v="11"/>
    <n v="2071"/>
    <n v="-97"/>
    <n v="-4.9138804457953392E-2"/>
  </r>
  <r>
    <x v="6"/>
    <x v="2"/>
    <x v="14"/>
    <n v="6314"/>
    <n v="15"/>
    <n v="6"/>
    <n v="97"/>
    <n v="6217"/>
    <n v="0.9846373139056066"/>
  </r>
  <r>
    <x v="9"/>
    <x v="0"/>
    <x v="14"/>
    <n v="4683"/>
    <n v="30"/>
    <n v="6"/>
    <n v="195"/>
    <n v="4488"/>
    <n v="0.95836002562459965"/>
  </r>
  <r>
    <x v="3"/>
    <x v="0"/>
    <x v="17"/>
    <n v="6398"/>
    <n v="102"/>
    <n v="5"/>
    <n v="507"/>
    <n v="5891"/>
    <n v="0.92075648640200058"/>
  </r>
  <r>
    <x v="7"/>
    <x v="1"/>
    <x v="15"/>
    <n v="553"/>
    <n v="15"/>
    <n v="8"/>
    <n v="115"/>
    <n v="438"/>
    <n v="0.79204339963833637"/>
  </r>
  <r>
    <x v="1"/>
    <x v="3"/>
    <x v="0"/>
    <n v="7021"/>
    <n v="183"/>
    <n v="14"/>
    <n v="2652"/>
    <n v="4369"/>
    <n v="0.62227602905569013"/>
  </r>
  <r>
    <x v="0"/>
    <x v="3"/>
    <x v="7"/>
    <n v="5817"/>
    <n v="12"/>
    <n v="10"/>
    <n v="117"/>
    <n v="5700"/>
    <n v="0.97988653945332649"/>
  </r>
  <r>
    <x v="3"/>
    <x v="3"/>
    <x v="8"/>
    <n v="3976"/>
    <n v="72"/>
    <n v="12"/>
    <n v="842"/>
    <n v="3134"/>
    <n v="0.7882293762575453"/>
  </r>
  <r>
    <x v="4"/>
    <x v="4"/>
    <x v="18"/>
    <n v="1134"/>
    <n v="282"/>
    <n v="17"/>
    <n v="4718"/>
    <n v="-3584"/>
    <n v="-3.1604938271604937"/>
  </r>
  <r>
    <x v="7"/>
    <x v="3"/>
    <x v="19"/>
    <n v="6027"/>
    <n v="144"/>
    <n v="10"/>
    <n v="1495"/>
    <n v="4532"/>
    <n v="0.75194956031192961"/>
  </r>
  <r>
    <x v="4"/>
    <x v="0"/>
    <x v="10"/>
    <n v="1904"/>
    <n v="405"/>
    <n v="9"/>
    <n v="3560"/>
    <n v="-1656"/>
    <n v="-0.86974789915966388"/>
  </r>
  <r>
    <x v="5"/>
    <x v="5"/>
    <x v="1"/>
    <n v="3262"/>
    <n v="75"/>
    <n v="9"/>
    <n v="649"/>
    <n v="2613"/>
    <n v="0.80104230533415077"/>
  </r>
  <r>
    <x v="0"/>
    <x v="5"/>
    <x v="18"/>
    <n v="2289"/>
    <n v="135"/>
    <n v="17"/>
    <n v="2259"/>
    <n v="30"/>
    <n v="1.310615989515072E-2"/>
  </r>
  <r>
    <x v="6"/>
    <x v="5"/>
    <x v="18"/>
    <n v="6986"/>
    <n v="21"/>
    <n v="17"/>
    <n v="351"/>
    <n v="6635"/>
    <n v="0.94975665616948179"/>
  </r>
  <r>
    <x v="7"/>
    <x v="4"/>
    <x v="14"/>
    <n v="4417"/>
    <n v="153"/>
    <n v="6"/>
    <n v="993"/>
    <n v="3424"/>
    <n v="0.77518677835635041"/>
  </r>
  <r>
    <x v="4"/>
    <x v="5"/>
    <x v="16"/>
    <n v="1442"/>
    <n v="15"/>
    <n v="12"/>
    <n v="176"/>
    <n v="1266"/>
    <n v="0.87794729542302363"/>
  </r>
  <r>
    <x v="8"/>
    <x v="1"/>
    <x v="8"/>
    <n v="2415"/>
    <n v="255"/>
    <n v="12"/>
    <n v="2984"/>
    <n v="-569"/>
    <n v="-0.23561076604554865"/>
  </r>
  <r>
    <x v="7"/>
    <x v="0"/>
    <x v="15"/>
    <n v="238"/>
    <n v="18"/>
    <n v="8"/>
    <n v="138"/>
    <n v="100"/>
    <n v="0.42016806722689076"/>
  </r>
  <r>
    <x v="4"/>
    <x v="0"/>
    <x v="14"/>
    <n v="4949"/>
    <n v="189"/>
    <n v="6"/>
    <n v="1227"/>
    <n v="3722"/>
    <n v="0.75207112547989496"/>
  </r>
  <r>
    <x v="6"/>
    <x v="4"/>
    <x v="1"/>
    <n v="5075"/>
    <n v="21"/>
    <n v="9"/>
    <n v="182"/>
    <n v="4893"/>
    <n v="0.96413793103448275"/>
  </r>
  <r>
    <x v="8"/>
    <x v="2"/>
    <x v="10"/>
    <n v="9198"/>
    <n v="36"/>
    <n v="9"/>
    <n v="316"/>
    <n v="8882"/>
    <n v="0.96564470537073277"/>
  </r>
  <r>
    <x v="4"/>
    <x v="5"/>
    <x v="12"/>
    <n v="3339"/>
    <n v="75"/>
    <n v="7"/>
    <n v="537"/>
    <n v="2802"/>
    <n v="0.83917340521114103"/>
  </r>
  <r>
    <x v="0"/>
    <x v="5"/>
    <x v="9"/>
    <n v="5019"/>
    <n v="156"/>
    <n v="3"/>
    <n v="485"/>
    <n v="4534"/>
    <n v="0.90336720462243469"/>
  </r>
  <r>
    <x v="6"/>
    <x v="2"/>
    <x v="10"/>
    <n v="16184"/>
    <n v="39"/>
    <n v="9"/>
    <n v="343"/>
    <n v="15841"/>
    <n v="0.97880622837370246"/>
  </r>
  <r>
    <x v="4"/>
    <x v="2"/>
    <x v="20"/>
    <n v="497"/>
    <n v="63"/>
    <n v="9"/>
    <n v="567"/>
    <n v="-70"/>
    <n v="-0.14084507042253522"/>
  </r>
  <r>
    <x v="7"/>
    <x v="2"/>
    <x v="12"/>
    <n v="8211"/>
    <n v="75"/>
    <n v="7"/>
    <n v="537"/>
    <n v="7674"/>
    <n v="0.93459992692729266"/>
  </r>
  <r>
    <x v="7"/>
    <x v="4"/>
    <x v="19"/>
    <n v="6580"/>
    <n v="183"/>
    <n v="10"/>
    <n v="1900"/>
    <n v="4680"/>
    <n v="0.71124620060790278"/>
  </r>
  <r>
    <x v="3"/>
    <x v="1"/>
    <x v="11"/>
    <n v="4760"/>
    <n v="69"/>
    <n v="9"/>
    <n v="644"/>
    <n v="4116"/>
    <n v="0.86470588235294121"/>
  </r>
  <r>
    <x v="0"/>
    <x v="2"/>
    <x v="4"/>
    <n v="5439"/>
    <n v="30"/>
    <n v="13"/>
    <n v="395"/>
    <n v="5045"/>
    <n v="0.927560213274499"/>
  </r>
  <r>
    <x v="3"/>
    <x v="5"/>
    <x v="9"/>
    <n v="1463"/>
    <n v="39"/>
    <n v="3"/>
    <n v="121"/>
    <n v="1342"/>
    <n v="0.91729323308270672"/>
  </r>
  <r>
    <x v="8"/>
    <x v="5"/>
    <x v="1"/>
    <n v="7777"/>
    <n v="504"/>
    <n v="9"/>
    <n v="4360"/>
    <n v="3417"/>
    <n v="0.43937250867943939"/>
  </r>
  <r>
    <x v="2"/>
    <x v="0"/>
    <x v="12"/>
    <n v="1085"/>
    <n v="273"/>
    <n v="7"/>
    <n v="1955"/>
    <n v="-870"/>
    <n v="-0.8018433179723502"/>
  </r>
  <r>
    <x v="6"/>
    <x v="0"/>
    <x v="6"/>
    <n v="182"/>
    <n v="48"/>
    <n v="6"/>
    <n v="278"/>
    <n v="-96"/>
    <n v="-0.52747252747252749"/>
  </r>
  <r>
    <x v="4"/>
    <x v="5"/>
    <x v="18"/>
    <n v="4242"/>
    <n v="207"/>
    <n v="17"/>
    <n v="3463"/>
    <n v="779"/>
    <n v="0.18363979255068363"/>
  </r>
  <r>
    <x v="4"/>
    <x v="2"/>
    <x v="1"/>
    <n v="6118"/>
    <n v="9"/>
    <n v="9"/>
    <n v="78"/>
    <n v="6040"/>
    <n v="0.98725073553448839"/>
  </r>
  <r>
    <x v="9"/>
    <x v="2"/>
    <x v="14"/>
    <n v="2317"/>
    <n v="261"/>
    <n v="6"/>
    <n v="1694"/>
    <n v="623"/>
    <n v="0.26888217522658608"/>
  </r>
  <r>
    <x v="4"/>
    <x v="4"/>
    <x v="10"/>
    <n v="938"/>
    <n v="6"/>
    <n v="9"/>
    <n v="53"/>
    <n v="885"/>
    <n v="0.94349680170575689"/>
  </r>
  <r>
    <x v="1"/>
    <x v="0"/>
    <x v="16"/>
    <n v="9709"/>
    <n v="30"/>
    <n v="12"/>
    <n v="352"/>
    <n v="9357"/>
    <n v="0.96374497888557009"/>
  </r>
  <r>
    <x v="5"/>
    <x v="5"/>
    <x v="13"/>
    <n v="2205"/>
    <n v="138"/>
    <n v="11"/>
    <n v="1466"/>
    <n v="739"/>
    <n v="0.33514739229024942"/>
  </r>
  <r>
    <x v="5"/>
    <x v="0"/>
    <x v="9"/>
    <n v="4487"/>
    <n v="111"/>
    <n v="3"/>
    <n v="345"/>
    <n v="4142"/>
    <n v="0.92311121016269226"/>
  </r>
  <r>
    <x v="6"/>
    <x v="1"/>
    <x v="3"/>
    <n v="2415"/>
    <n v="15"/>
    <n v="6"/>
    <n v="97"/>
    <n v="2318"/>
    <n v="0.95983436853002069"/>
  </r>
  <r>
    <x v="0"/>
    <x v="5"/>
    <x v="15"/>
    <n v="4018"/>
    <n v="162"/>
    <n v="8"/>
    <n v="1238"/>
    <n v="2780"/>
    <n v="0.69188651070184171"/>
  </r>
  <r>
    <x v="6"/>
    <x v="5"/>
    <x v="15"/>
    <n v="861"/>
    <n v="195"/>
    <n v="8"/>
    <n v="1490"/>
    <n v="-629"/>
    <n v="-0.7305458768873403"/>
  </r>
  <r>
    <x v="9"/>
    <x v="4"/>
    <x v="8"/>
    <n v="5586"/>
    <n v="525"/>
    <n v="12"/>
    <n v="6143"/>
    <n v="-557"/>
    <n v="-9.9713569638381669E-2"/>
  </r>
  <r>
    <x v="5"/>
    <x v="5"/>
    <x v="5"/>
    <n v="2226"/>
    <n v="48"/>
    <n v="12"/>
    <n v="594"/>
    <n v="1632"/>
    <n v="0.73315363881401618"/>
  </r>
  <r>
    <x v="2"/>
    <x v="5"/>
    <x v="19"/>
    <n v="14329"/>
    <n v="150"/>
    <n v="10"/>
    <n v="1557"/>
    <n v="12772"/>
    <n v="0.89133924209644777"/>
  </r>
  <r>
    <x v="2"/>
    <x v="5"/>
    <x v="13"/>
    <n v="8463"/>
    <n v="492"/>
    <n v="11"/>
    <n v="5225"/>
    <n v="3238"/>
    <n v="0.38260664067115679"/>
  </r>
  <r>
    <x v="6"/>
    <x v="5"/>
    <x v="12"/>
    <n v="2891"/>
    <n v="102"/>
    <n v="7"/>
    <n v="730"/>
    <n v="2161"/>
    <n v="0.74749221722587345"/>
  </r>
  <r>
    <x v="8"/>
    <x v="2"/>
    <x v="14"/>
    <n v="3773"/>
    <n v="165"/>
    <n v="6"/>
    <n v="1071"/>
    <n v="2702"/>
    <n v="0.71614100185528762"/>
  </r>
  <r>
    <x v="3"/>
    <x v="2"/>
    <x v="19"/>
    <n v="854"/>
    <n v="309"/>
    <n v="10"/>
    <n v="3207"/>
    <n v="-2353"/>
    <n v="-2.7552693208430914"/>
  </r>
  <r>
    <x v="4"/>
    <x v="2"/>
    <x v="9"/>
    <n v="4970"/>
    <n v="156"/>
    <n v="3"/>
    <n v="485"/>
    <n v="4485"/>
    <n v="0.90241448692152915"/>
  </r>
  <r>
    <x v="2"/>
    <x v="1"/>
    <x v="21"/>
    <n v="98"/>
    <n v="159"/>
    <n v="6"/>
    <n v="890"/>
    <n v="-792"/>
    <n v="-8.0816326530612237"/>
  </r>
  <r>
    <x v="6"/>
    <x v="1"/>
    <x v="16"/>
    <n v="13391"/>
    <n v="201"/>
    <n v="12"/>
    <n v="2358"/>
    <n v="11033"/>
    <n v="0.82391158240609363"/>
  </r>
  <r>
    <x v="1"/>
    <x v="3"/>
    <x v="6"/>
    <n v="8890"/>
    <n v="210"/>
    <n v="6"/>
    <n v="1216"/>
    <n v="7674"/>
    <n v="0.86321709786276712"/>
  </r>
  <r>
    <x v="7"/>
    <x v="4"/>
    <x v="11"/>
    <n v="56"/>
    <n v="51"/>
    <n v="9"/>
    <n v="476"/>
    <n v="-420"/>
    <n v="-7.5"/>
  </r>
  <r>
    <x v="8"/>
    <x v="2"/>
    <x v="4"/>
    <n v="3339"/>
    <n v="39"/>
    <n v="13"/>
    <n v="513"/>
    <n v="2826"/>
    <n v="0.84636118598382748"/>
  </r>
  <r>
    <x v="9"/>
    <x v="1"/>
    <x v="3"/>
    <n v="3808"/>
    <n v="279"/>
    <n v="6"/>
    <n v="1805"/>
    <n v="2003"/>
    <n v="0.52599789915966388"/>
  </r>
  <r>
    <x v="9"/>
    <x v="4"/>
    <x v="11"/>
    <n v="63"/>
    <n v="123"/>
    <n v="9"/>
    <n v="1148"/>
    <n v="-1085"/>
    <n v="-17.222222222222221"/>
  </r>
  <r>
    <x v="7"/>
    <x v="3"/>
    <x v="18"/>
    <n v="7812"/>
    <n v="81"/>
    <n v="17"/>
    <n v="1355"/>
    <n v="6457"/>
    <n v="0.82654889912954432"/>
  </r>
  <r>
    <x v="0"/>
    <x v="0"/>
    <x v="15"/>
    <n v="7693"/>
    <n v="21"/>
    <n v="8"/>
    <n v="160"/>
    <n v="7533"/>
    <n v="0.97920187183153518"/>
  </r>
  <r>
    <x v="8"/>
    <x v="2"/>
    <x v="19"/>
    <n v="973"/>
    <n v="162"/>
    <n v="10"/>
    <n v="1682"/>
    <n v="-709"/>
    <n v="-0.72867420349434742"/>
  </r>
  <r>
    <x v="9"/>
    <x v="1"/>
    <x v="20"/>
    <n v="567"/>
    <n v="228"/>
    <n v="9"/>
    <n v="2052"/>
    <n v="-1485"/>
    <n v="-2.6190476190476191"/>
  </r>
  <r>
    <x v="9"/>
    <x v="2"/>
    <x v="12"/>
    <n v="2471"/>
    <n v="342"/>
    <n v="7"/>
    <n v="2449"/>
    <n v="22"/>
    <n v="8.9032780250910565E-3"/>
  </r>
  <r>
    <x v="6"/>
    <x v="4"/>
    <x v="11"/>
    <n v="7189"/>
    <n v="54"/>
    <n v="9"/>
    <n v="504"/>
    <n v="6685"/>
    <n v="0.92989289191820834"/>
  </r>
  <r>
    <x v="3"/>
    <x v="1"/>
    <x v="19"/>
    <n v="7455"/>
    <n v="216"/>
    <n v="10"/>
    <n v="2242"/>
    <n v="5213"/>
    <n v="0.69926224010731053"/>
  </r>
  <r>
    <x v="8"/>
    <x v="5"/>
    <x v="21"/>
    <n v="3108"/>
    <n v="54"/>
    <n v="6"/>
    <n v="302"/>
    <n v="2806"/>
    <n v="0.90283140283140284"/>
  </r>
  <r>
    <x v="4"/>
    <x v="4"/>
    <x v="4"/>
    <n v="469"/>
    <n v="75"/>
    <n v="13"/>
    <n v="986"/>
    <n v="-517"/>
    <n v="-1.1023454157782515"/>
  </r>
  <r>
    <x v="2"/>
    <x v="0"/>
    <x v="14"/>
    <n v="2737"/>
    <n v="93"/>
    <n v="6"/>
    <n v="604"/>
    <n v="2133"/>
    <n v="0.77932042382170263"/>
  </r>
  <r>
    <x v="2"/>
    <x v="0"/>
    <x v="4"/>
    <n v="4305"/>
    <n v="156"/>
    <n v="13"/>
    <n v="2051"/>
    <n v="2254"/>
    <n v="0.52357723577235771"/>
  </r>
  <r>
    <x v="2"/>
    <x v="4"/>
    <x v="9"/>
    <n v="2408"/>
    <n v="9"/>
    <n v="3"/>
    <n v="28"/>
    <n v="2380"/>
    <n v="0.98837209302325579"/>
  </r>
  <r>
    <x v="8"/>
    <x v="2"/>
    <x v="15"/>
    <n v="1281"/>
    <n v="18"/>
    <n v="8"/>
    <n v="138"/>
    <n v="1143"/>
    <n v="0.89227166276346603"/>
  </r>
  <r>
    <x v="0"/>
    <x v="1"/>
    <x v="1"/>
    <n v="12348"/>
    <n v="234"/>
    <n v="9"/>
    <n v="2024"/>
    <n v="10324"/>
    <n v="0.8360868156786524"/>
  </r>
  <r>
    <x v="8"/>
    <x v="5"/>
    <x v="19"/>
    <n v="3689"/>
    <n v="312"/>
    <n v="10"/>
    <n v="3239"/>
    <n v="450"/>
    <n v="0.12198427758200055"/>
  </r>
  <r>
    <x v="5"/>
    <x v="2"/>
    <x v="15"/>
    <n v="2870"/>
    <n v="300"/>
    <n v="8"/>
    <n v="2292"/>
    <n v="578"/>
    <n v="0.2013937282229965"/>
  </r>
  <r>
    <x v="7"/>
    <x v="2"/>
    <x v="18"/>
    <n v="798"/>
    <n v="519"/>
    <n v="17"/>
    <n v="8683"/>
    <n v="-7885"/>
    <n v="-9.8809523809523814"/>
  </r>
  <r>
    <x v="3"/>
    <x v="0"/>
    <x v="20"/>
    <n v="2933"/>
    <n v="9"/>
    <n v="9"/>
    <n v="81"/>
    <n v="2852"/>
    <n v="0.97238322536651889"/>
  </r>
  <r>
    <x v="6"/>
    <x v="1"/>
    <x v="2"/>
    <n v="2744"/>
    <n v="9"/>
    <n v="12"/>
    <n v="107"/>
    <n v="2637"/>
    <n v="0.9610058309037901"/>
  </r>
  <r>
    <x v="0"/>
    <x v="2"/>
    <x v="5"/>
    <n v="9772"/>
    <n v="90"/>
    <n v="12"/>
    <n v="1113"/>
    <n v="8659"/>
    <n v="0.88610315186246413"/>
  </r>
  <r>
    <x v="5"/>
    <x v="5"/>
    <x v="4"/>
    <n v="1568"/>
    <n v="96"/>
    <n v="13"/>
    <n v="1262"/>
    <n v="306"/>
    <n v="0.1951530612244898"/>
  </r>
  <r>
    <x v="7"/>
    <x v="2"/>
    <x v="10"/>
    <n v="11417"/>
    <n v="21"/>
    <n v="9"/>
    <n v="185"/>
    <n v="11232"/>
    <n v="0.98379609354471398"/>
  </r>
  <r>
    <x v="0"/>
    <x v="5"/>
    <x v="21"/>
    <n v="6748"/>
    <n v="48"/>
    <n v="6"/>
    <n v="269"/>
    <n v="6479"/>
    <n v="0.96013633669235332"/>
  </r>
  <r>
    <x v="9"/>
    <x v="2"/>
    <x v="18"/>
    <n v="1407"/>
    <n v="72"/>
    <n v="17"/>
    <n v="1205"/>
    <n v="202"/>
    <n v="0.14356787491115849"/>
  </r>
  <r>
    <x v="1"/>
    <x v="1"/>
    <x v="12"/>
    <n v="2023"/>
    <n v="168"/>
    <n v="7"/>
    <n v="1203"/>
    <n v="820"/>
    <n v="0.40533860603064753"/>
  </r>
  <r>
    <x v="6"/>
    <x v="3"/>
    <x v="21"/>
    <n v="5236"/>
    <n v="51"/>
    <n v="6"/>
    <n v="286"/>
    <n v="4950"/>
    <n v="0.94537815126050417"/>
  </r>
  <r>
    <x v="3"/>
    <x v="2"/>
    <x v="15"/>
    <n v="1925"/>
    <n v="192"/>
    <n v="8"/>
    <n v="1467"/>
    <n v="458"/>
    <n v="0.23792207792207792"/>
  </r>
  <r>
    <x v="5"/>
    <x v="0"/>
    <x v="8"/>
    <n v="6608"/>
    <n v="225"/>
    <n v="12"/>
    <n v="2633"/>
    <n v="3976"/>
    <n v="0.60169491525423724"/>
  </r>
  <r>
    <x v="4"/>
    <x v="5"/>
    <x v="21"/>
    <n v="8008"/>
    <n v="456"/>
    <n v="6"/>
    <n v="2554"/>
    <n v="5454"/>
    <n v="0.68106893106893107"/>
  </r>
  <r>
    <x v="9"/>
    <x v="5"/>
    <x v="4"/>
    <n v="1428"/>
    <n v="93"/>
    <n v="13"/>
    <n v="1223"/>
    <n v="205"/>
    <n v="0.14355742296918766"/>
  </r>
  <r>
    <x v="4"/>
    <x v="5"/>
    <x v="2"/>
    <n v="525"/>
    <n v="48"/>
    <n v="12"/>
    <n v="570"/>
    <n v="-45"/>
    <n v="-8.5714285714285715E-2"/>
  </r>
  <r>
    <x v="4"/>
    <x v="0"/>
    <x v="3"/>
    <n v="1505"/>
    <n v="102"/>
    <n v="6"/>
    <n v="660"/>
    <n v="845"/>
    <n v="0.56146179401993357"/>
  </r>
  <r>
    <x v="5"/>
    <x v="1"/>
    <x v="0"/>
    <n v="6755"/>
    <n v="252"/>
    <n v="14"/>
    <n v="3651"/>
    <n v="3104"/>
    <n v="0.45951147298297557"/>
  </r>
  <r>
    <x v="7"/>
    <x v="0"/>
    <x v="3"/>
    <n v="11571"/>
    <n v="138"/>
    <n v="6"/>
    <n v="893"/>
    <n v="10678"/>
    <n v="0.92282430213464695"/>
  </r>
  <r>
    <x v="0"/>
    <x v="4"/>
    <x v="4"/>
    <n v="2541"/>
    <n v="90"/>
    <n v="13"/>
    <n v="1184"/>
    <n v="1358"/>
    <n v="0.53443526170798894"/>
  </r>
  <r>
    <x v="3"/>
    <x v="0"/>
    <x v="0"/>
    <n v="1526"/>
    <n v="240"/>
    <n v="14"/>
    <n v="3478"/>
    <n v="-1952"/>
    <n v="-1.2791612057667103"/>
  </r>
  <r>
    <x v="0"/>
    <x v="4"/>
    <x v="2"/>
    <n v="6125"/>
    <n v="102"/>
    <n v="12"/>
    <n v="1212"/>
    <n v="4913"/>
    <n v="0.80212244897959184"/>
  </r>
  <r>
    <x v="3"/>
    <x v="1"/>
    <x v="18"/>
    <n v="847"/>
    <n v="129"/>
    <n v="17"/>
    <n v="2158"/>
    <n v="-1311"/>
    <n v="-1.5478158205430932"/>
  </r>
  <r>
    <x v="1"/>
    <x v="1"/>
    <x v="18"/>
    <n v="4753"/>
    <n v="300"/>
    <n v="17"/>
    <n v="5019"/>
    <n v="-266"/>
    <n v="-5.5964653902798235E-2"/>
  </r>
  <r>
    <x v="4"/>
    <x v="4"/>
    <x v="5"/>
    <n v="959"/>
    <n v="135"/>
    <n v="12"/>
    <n v="1670"/>
    <n v="-711"/>
    <n v="-0.7413972888425443"/>
  </r>
  <r>
    <x v="5"/>
    <x v="1"/>
    <x v="17"/>
    <n v="2793"/>
    <n v="114"/>
    <n v="5"/>
    <n v="567"/>
    <n v="2226"/>
    <n v="0.79699248120300747"/>
  </r>
  <r>
    <x v="5"/>
    <x v="1"/>
    <x v="8"/>
    <n v="4606"/>
    <n v="63"/>
    <n v="12"/>
    <n v="737"/>
    <n v="3869"/>
    <n v="0.83999131567520624"/>
  </r>
  <r>
    <x v="5"/>
    <x v="2"/>
    <x v="12"/>
    <n v="5551"/>
    <n v="252"/>
    <n v="7"/>
    <n v="1804"/>
    <n v="3747"/>
    <n v="0.6750135110790848"/>
  </r>
  <r>
    <x v="9"/>
    <x v="2"/>
    <x v="1"/>
    <n v="6657"/>
    <n v="303"/>
    <n v="9"/>
    <n v="2621"/>
    <n v="4036"/>
    <n v="0.60627910470181767"/>
  </r>
  <r>
    <x v="5"/>
    <x v="3"/>
    <x v="9"/>
    <n v="4438"/>
    <n v="246"/>
    <n v="3"/>
    <n v="765"/>
    <n v="3673"/>
    <n v="0.82762505633168093"/>
  </r>
  <r>
    <x v="1"/>
    <x v="4"/>
    <x v="7"/>
    <n v="168"/>
    <n v="84"/>
    <n v="10"/>
    <n v="821"/>
    <n v="-653"/>
    <n v="-3.8869047619047619"/>
  </r>
  <r>
    <x v="5"/>
    <x v="5"/>
    <x v="9"/>
    <n v="7777"/>
    <n v="39"/>
    <n v="3"/>
    <n v="121"/>
    <n v="7656"/>
    <n v="0.98444130127298446"/>
  </r>
  <r>
    <x v="6"/>
    <x v="2"/>
    <x v="9"/>
    <n v="3339"/>
    <n v="348"/>
    <n v="3"/>
    <n v="1082"/>
    <n v="2257"/>
    <n v="0.67595088349805332"/>
  </r>
  <r>
    <x v="5"/>
    <x v="0"/>
    <x v="5"/>
    <n v="6391"/>
    <n v="48"/>
    <n v="12"/>
    <n v="594"/>
    <n v="5797"/>
    <n v="0.90705679862306365"/>
  </r>
  <r>
    <x v="6"/>
    <x v="0"/>
    <x v="7"/>
    <n v="518"/>
    <n v="75"/>
    <n v="10"/>
    <n v="733"/>
    <n v="-215"/>
    <n v="-0.41505791505791506"/>
  </r>
  <r>
    <x v="5"/>
    <x v="4"/>
    <x v="19"/>
    <n v="5677"/>
    <n v="258"/>
    <n v="10"/>
    <n v="2678"/>
    <n v="2999"/>
    <n v="0.52827197463449005"/>
  </r>
  <r>
    <x v="4"/>
    <x v="3"/>
    <x v="9"/>
    <n v="6048"/>
    <n v="27"/>
    <n v="3"/>
    <n v="84"/>
    <n v="5964"/>
    <n v="0.98611111111111116"/>
  </r>
  <r>
    <x v="1"/>
    <x v="4"/>
    <x v="1"/>
    <n v="3752"/>
    <n v="213"/>
    <n v="9"/>
    <n v="1842"/>
    <n v="1910"/>
    <n v="0.50906183368869939"/>
  </r>
  <r>
    <x v="6"/>
    <x v="1"/>
    <x v="12"/>
    <n v="4480"/>
    <n v="357"/>
    <n v="7"/>
    <n v="2556"/>
    <n v="1924"/>
    <n v="0.42946428571428569"/>
  </r>
  <r>
    <x v="2"/>
    <x v="0"/>
    <x v="2"/>
    <n v="259"/>
    <n v="207"/>
    <n v="12"/>
    <n v="2459"/>
    <n v="-2200"/>
    <n v="-8.494208494208495"/>
  </r>
  <r>
    <x v="1"/>
    <x v="0"/>
    <x v="0"/>
    <n v="42"/>
    <n v="150"/>
    <n v="14"/>
    <n v="2174"/>
    <n v="-2132"/>
    <n v="-50.761904761904759"/>
  </r>
  <r>
    <x v="3"/>
    <x v="2"/>
    <x v="21"/>
    <n v="98"/>
    <n v="204"/>
    <n v="6"/>
    <n v="1142"/>
    <n v="-1044"/>
    <n v="-10.653061224489797"/>
  </r>
  <r>
    <x v="5"/>
    <x v="1"/>
    <x v="18"/>
    <n v="2478"/>
    <n v="21"/>
    <n v="17"/>
    <n v="351"/>
    <n v="2127"/>
    <n v="0.85835351089588374"/>
  </r>
  <r>
    <x v="3"/>
    <x v="5"/>
    <x v="5"/>
    <n v="7847"/>
    <n v="174"/>
    <n v="12"/>
    <n v="2152"/>
    <n v="5695"/>
    <n v="0.72575506563017711"/>
  </r>
  <r>
    <x v="7"/>
    <x v="0"/>
    <x v="9"/>
    <n v="9926"/>
    <n v="201"/>
    <n v="3"/>
    <n v="625"/>
    <n v="9301"/>
    <n v="0.9370340519846867"/>
  </r>
  <r>
    <x v="1"/>
    <x v="4"/>
    <x v="11"/>
    <n v="819"/>
    <n v="510"/>
    <n v="9"/>
    <n v="4758"/>
    <n v="-3939"/>
    <n v="-4.8095238095238093"/>
  </r>
  <r>
    <x v="4"/>
    <x v="3"/>
    <x v="12"/>
    <n v="3052"/>
    <n v="378"/>
    <n v="7"/>
    <n v="2706"/>
    <n v="346"/>
    <n v="0.11336828309305373"/>
  </r>
  <r>
    <x v="2"/>
    <x v="5"/>
    <x v="20"/>
    <n v="6832"/>
    <n v="27"/>
    <n v="9"/>
    <n v="243"/>
    <n v="6589"/>
    <n v="0.96443208430913352"/>
  </r>
  <r>
    <x v="7"/>
    <x v="3"/>
    <x v="10"/>
    <n v="2016"/>
    <n v="117"/>
    <n v="9"/>
    <n v="1028"/>
    <n v="988"/>
    <n v="0.49007936507936506"/>
  </r>
  <r>
    <x v="4"/>
    <x v="4"/>
    <x v="20"/>
    <n v="7322"/>
    <n v="36"/>
    <n v="9"/>
    <n v="324"/>
    <n v="6998"/>
    <n v="0.95574979513794045"/>
  </r>
  <r>
    <x v="1"/>
    <x v="1"/>
    <x v="5"/>
    <n v="357"/>
    <n v="126"/>
    <n v="12"/>
    <n v="1559"/>
    <n v="-1202"/>
    <n v="-3.3669467787114846"/>
  </r>
  <r>
    <x v="2"/>
    <x v="3"/>
    <x v="4"/>
    <n v="3192"/>
    <n v="72"/>
    <n v="13"/>
    <n v="947"/>
    <n v="2245"/>
    <n v="0.70332080200501257"/>
  </r>
  <r>
    <x v="5"/>
    <x v="2"/>
    <x v="7"/>
    <n v="8435"/>
    <n v="42"/>
    <n v="10"/>
    <n v="410"/>
    <n v="8025"/>
    <n v="0.951393005334914"/>
  </r>
  <r>
    <x v="0"/>
    <x v="3"/>
    <x v="12"/>
    <n v="0"/>
    <n v="135"/>
    <n v="7"/>
    <n v="967"/>
    <n v="-967"/>
    <n v="0"/>
  </r>
  <r>
    <x v="5"/>
    <x v="5"/>
    <x v="17"/>
    <n v="8862"/>
    <n v="189"/>
    <n v="5"/>
    <n v="939"/>
    <n v="7923"/>
    <n v="0.89404197698036558"/>
  </r>
  <r>
    <x v="4"/>
    <x v="0"/>
    <x v="19"/>
    <n v="3556"/>
    <n v="459"/>
    <n v="10"/>
    <n v="4764"/>
    <n v="-1208"/>
    <n v="-0.33970753655793023"/>
  </r>
  <r>
    <x v="6"/>
    <x v="5"/>
    <x v="16"/>
    <n v="7280"/>
    <n v="201"/>
    <n v="12"/>
    <n v="2358"/>
    <n v="4922"/>
    <n v="0.67609890109890114"/>
  </r>
  <r>
    <x v="4"/>
    <x v="5"/>
    <x v="0"/>
    <n v="3402"/>
    <n v="366"/>
    <n v="14"/>
    <n v="5303"/>
    <n v="-1901"/>
    <n v="-0.5587889476778366"/>
  </r>
  <r>
    <x v="8"/>
    <x v="0"/>
    <x v="12"/>
    <n v="4592"/>
    <n v="324"/>
    <n v="7"/>
    <n v="2320"/>
    <n v="2272"/>
    <n v="0.49477351916376305"/>
  </r>
  <r>
    <x v="2"/>
    <x v="1"/>
    <x v="16"/>
    <n v="7833"/>
    <n v="243"/>
    <n v="12"/>
    <n v="2850"/>
    <n v="4983"/>
    <n v="0.63615472998851019"/>
  </r>
  <r>
    <x v="7"/>
    <x v="3"/>
    <x v="20"/>
    <n v="7651"/>
    <n v="213"/>
    <n v="9"/>
    <n v="1917"/>
    <n v="5734"/>
    <n v="0.74944451705659387"/>
  </r>
  <r>
    <x v="0"/>
    <x v="1"/>
    <x v="0"/>
    <n v="2275"/>
    <n v="447"/>
    <n v="14"/>
    <n v="6477"/>
    <n v="-4202"/>
    <n v="-1.847032967032967"/>
  </r>
  <r>
    <x v="0"/>
    <x v="4"/>
    <x v="11"/>
    <n v="5670"/>
    <n v="297"/>
    <n v="9"/>
    <n v="2771"/>
    <n v="2899"/>
    <n v="0.51128747795414464"/>
  </r>
  <r>
    <x v="5"/>
    <x v="1"/>
    <x v="10"/>
    <n v="2135"/>
    <n v="27"/>
    <n v="9"/>
    <n v="237"/>
    <n v="1898"/>
    <n v="0.88899297423887591"/>
  </r>
  <r>
    <x v="0"/>
    <x v="5"/>
    <x v="14"/>
    <n v="2779"/>
    <n v="75"/>
    <n v="6"/>
    <n v="487"/>
    <n v="2292"/>
    <n v="0.82475710687297588"/>
  </r>
  <r>
    <x v="9"/>
    <x v="3"/>
    <x v="5"/>
    <n v="12950"/>
    <n v="30"/>
    <n v="12"/>
    <n v="371"/>
    <n v="12579"/>
    <n v="0.97135135135135131"/>
  </r>
  <r>
    <x v="5"/>
    <x v="2"/>
    <x v="3"/>
    <n v="2646"/>
    <n v="177"/>
    <n v="6"/>
    <n v="1145"/>
    <n v="1501"/>
    <n v="0.56727135298563869"/>
  </r>
  <r>
    <x v="0"/>
    <x v="5"/>
    <x v="5"/>
    <n v="3794"/>
    <n v="159"/>
    <n v="12"/>
    <n v="1967"/>
    <n v="1827"/>
    <n v="0.48154981549815495"/>
  </r>
  <r>
    <x v="8"/>
    <x v="1"/>
    <x v="5"/>
    <n v="819"/>
    <n v="306"/>
    <n v="12"/>
    <n v="3785"/>
    <n v="-2966"/>
    <n v="-3.6214896214896215"/>
  </r>
  <r>
    <x v="8"/>
    <x v="5"/>
    <x v="13"/>
    <n v="2583"/>
    <n v="18"/>
    <n v="11"/>
    <n v="191"/>
    <n v="2392"/>
    <n v="0.92605497483546262"/>
  </r>
  <r>
    <x v="5"/>
    <x v="1"/>
    <x v="15"/>
    <n v="4585"/>
    <n v="240"/>
    <n v="8"/>
    <n v="1834"/>
    <n v="2751"/>
    <n v="0.6"/>
  </r>
  <r>
    <x v="6"/>
    <x v="5"/>
    <x v="5"/>
    <n v="1652"/>
    <n v="93"/>
    <n v="12"/>
    <n v="1150"/>
    <n v="502"/>
    <n v="0.30387409200968524"/>
  </r>
  <r>
    <x v="9"/>
    <x v="5"/>
    <x v="21"/>
    <n v="4991"/>
    <n v="9"/>
    <n v="6"/>
    <n v="50"/>
    <n v="4941"/>
    <n v="0.98998196754157486"/>
  </r>
  <r>
    <x v="1"/>
    <x v="5"/>
    <x v="10"/>
    <n v="2009"/>
    <n v="219"/>
    <n v="9"/>
    <n v="1925"/>
    <n v="84"/>
    <n v="4.1811846689895474E-2"/>
  </r>
  <r>
    <x v="7"/>
    <x v="3"/>
    <x v="7"/>
    <n v="1568"/>
    <n v="141"/>
    <n v="10"/>
    <n v="1378"/>
    <n v="190"/>
    <n v="0.1211734693877551"/>
  </r>
  <r>
    <x v="3"/>
    <x v="0"/>
    <x v="13"/>
    <n v="3388"/>
    <n v="123"/>
    <n v="11"/>
    <n v="1306"/>
    <n v="2082"/>
    <n v="0.61452184179456903"/>
  </r>
  <r>
    <x v="0"/>
    <x v="4"/>
    <x v="17"/>
    <n v="623"/>
    <n v="51"/>
    <n v="5"/>
    <n v="253"/>
    <n v="370"/>
    <n v="0.593900481540931"/>
  </r>
  <r>
    <x v="4"/>
    <x v="2"/>
    <x v="2"/>
    <n v="10073"/>
    <n v="120"/>
    <n v="12"/>
    <n v="1426"/>
    <n v="8647"/>
    <n v="0.85843343591780008"/>
  </r>
  <r>
    <x v="1"/>
    <x v="3"/>
    <x v="21"/>
    <n v="1561"/>
    <n v="27"/>
    <n v="6"/>
    <n v="151"/>
    <n v="1410"/>
    <n v="0.90326713645099299"/>
  </r>
  <r>
    <x v="2"/>
    <x v="2"/>
    <x v="18"/>
    <n v="11522"/>
    <n v="204"/>
    <n v="17"/>
    <n v="3413"/>
    <n v="8109"/>
    <n v="0.70378406526644677"/>
  </r>
  <r>
    <x v="4"/>
    <x v="4"/>
    <x v="11"/>
    <n v="2317"/>
    <n v="123"/>
    <n v="9"/>
    <n v="1148"/>
    <n v="1169"/>
    <n v="0.50453172205438068"/>
  </r>
  <r>
    <x v="9"/>
    <x v="0"/>
    <x v="19"/>
    <n v="3059"/>
    <n v="27"/>
    <n v="10"/>
    <n v="280"/>
    <n v="2779"/>
    <n v="0.90846681922196793"/>
  </r>
  <r>
    <x v="3"/>
    <x v="0"/>
    <x v="21"/>
    <n v="2324"/>
    <n v="177"/>
    <n v="6"/>
    <n v="991"/>
    <n v="1333"/>
    <n v="0.57358003442340788"/>
  </r>
  <r>
    <x v="8"/>
    <x v="3"/>
    <x v="21"/>
    <n v="4956"/>
    <n v="171"/>
    <n v="6"/>
    <n v="958"/>
    <n v="3998"/>
    <n v="0.80669895076674736"/>
  </r>
  <r>
    <x v="9"/>
    <x v="5"/>
    <x v="15"/>
    <n v="5355"/>
    <n v="204"/>
    <n v="8"/>
    <n v="1559"/>
    <n v="3796"/>
    <n v="0.70887021475256773"/>
  </r>
  <r>
    <x v="8"/>
    <x v="5"/>
    <x v="8"/>
    <n v="7259"/>
    <n v="276"/>
    <n v="12"/>
    <n v="3229"/>
    <n v="4030"/>
    <n v="0.55517288882766225"/>
  </r>
  <r>
    <x v="1"/>
    <x v="0"/>
    <x v="21"/>
    <n v="6279"/>
    <n v="45"/>
    <n v="6"/>
    <n v="252"/>
    <n v="6027"/>
    <n v="0.95986622073578598"/>
  </r>
  <r>
    <x v="0"/>
    <x v="4"/>
    <x v="12"/>
    <n v="2541"/>
    <n v="45"/>
    <n v="7"/>
    <n v="322"/>
    <n v="2219"/>
    <n v="0.8732782369146006"/>
  </r>
  <r>
    <x v="4"/>
    <x v="1"/>
    <x v="18"/>
    <n v="3864"/>
    <n v="177"/>
    <n v="17"/>
    <n v="2961"/>
    <n v="903"/>
    <n v="0.23369565217391305"/>
  </r>
  <r>
    <x v="6"/>
    <x v="2"/>
    <x v="11"/>
    <n v="6146"/>
    <n v="63"/>
    <n v="9"/>
    <n v="588"/>
    <n v="5558"/>
    <n v="0.90432801822323461"/>
  </r>
  <r>
    <x v="2"/>
    <x v="3"/>
    <x v="3"/>
    <n v="2639"/>
    <n v="204"/>
    <n v="6"/>
    <n v="1320"/>
    <n v="1319"/>
    <n v="0.49981053429329292"/>
  </r>
  <r>
    <x v="1"/>
    <x v="0"/>
    <x v="7"/>
    <n v="1890"/>
    <n v="195"/>
    <n v="10"/>
    <n v="1905"/>
    <n v="-15"/>
    <n v="-7.9365079365079361E-3"/>
  </r>
  <r>
    <x v="5"/>
    <x v="5"/>
    <x v="8"/>
    <n v="1932"/>
    <n v="369"/>
    <n v="12"/>
    <n v="4317"/>
    <n v="-2385"/>
    <n v="-1.234472049689441"/>
  </r>
  <r>
    <x v="8"/>
    <x v="5"/>
    <x v="4"/>
    <n v="6300"/>
    <n v="42"/>
    <n v="13"/>
    <n v="552"/>
    <n v="5748"/>
    <n v="0.9123809523809524"/>
  </r>
  <r>
    <x v="4"/>
    <x v="0"/>
    <x v="0"/>
    <n v="560"/>
    <n v="81"/>
    <n v="14"/>
    <n v="1174"/>
    <n v="-614"/>
    <n v="-1.0964285714285715"/>
  </r>
  <r>
    <x v="2"/>
    <x v="0"/>
    <x v="21"/>
    <n v="2856"/>
    <n v="246"/>
    <n v="6"/>
    <n v="1378"/>
    <n v="1478"/>
    <n v="0.5175070028011205"/>
  </r>
  <r>
    <x v="2"/>
    <x v="5"/>
    <x v="9"/>
    <n v="707"/>
    <n v="174"/>
    <n v="3"/>
    <n v="541"/>
    <n v="166"/>
    <n v="0.2347949080622348"/>
  </r>
  <r>
    <x v="1"/>
    <x v="1"/>
    <x v="0"/>
    <n v="3598"/>
    <n v="81"/>
    <n v="14"/>
    <n v="1174"/>
    <n v="2424"/>
    <n v="0.67370761534185664"/>
  </r>
  <r>
    <x v="0"/>
    <x v="1"/>
    <x v="7"/>
    <n v="6853"/>
    <n v="372"/>
    <n v="10"/>
    <n v="3634"/>
    <n v="3219"/>
    <n v="0.46972128994600904"/>
  </r>
  <r>
    <x v="0"/>
    <x v="1"/>
    <x v="10"/>
    <n v="4725"/>
    <n v="174"/>
    <n v="9"/>
    <n v="1529"/>
    <n v="3196"/>
    <n v="0.67640211640211645"/>
  </r>
  <r>
    <x v="3"/>
    <x v="2"/>
    <x v="1"/>
    <n v="10304"/>
    <n v="84"/>
    <n v="9"/>
    <n v="727"/>
    <n v="9577"/>
    <n v="0.92944487577639756"/>
  </r>
  <r>
    <x v="3"/>
    <x v="5"/>
    <x v="10"/>
    <n v="1274"/>
    <n v="225"/>
    <n v="9"/>
    <n v="1978"/>
    <n v="-704"/>
    <n v="-0.55259026687598112"/>
  </r>
  <r>
    <x v="6"/>
    <x v="2"/>
    <x v="0"/>
    <n v="1526"/>
    <n v="105"/>
    <n v="14"/>
    <n v="1521"/>
    <n v="5"/>
    <n v="3.27653997378768E-3"/>
  </r>
  <r>
    <x v="0"/>
    <x v="3"/>
    <x v="19"/>
    <n v="3101"/>
    <n v="225"/>
    <n v="10"/>
    <n v="2336"/>
    <n v="766"/>
    <n v="0.24701709126088359"/>
  </r>
  <r>
    <x v="7"/>
    <x v="0"/>
    <x v="8"/>
    <n v="1057"/>
    <n v="54"/>
    <n v="12"/>
    <n v="632"/>
    <n v="425"/>
    <n v="0.40208136234626302"/>
  </r>
  <r>
    <x v="5"/>
    <x v="0"/>
    <x v="21"/>
    <n v="5306"/>
    <n v="0"/>
    <n v="6"/>
    <n v="0"/>
    <n v="5306"/>
    <n v="1"/>
  </r>
  <r>
    <x v="6"/>
    <x v="3"/>
    <x v="17"/>
    <n v="4018"/>
    <n v="171"/>
    <n v="5"/>
    <n v="850"/>
    <n v="3168"/>
    <n v="0.78845196615231461"/>
  </r>
  <r>
    <x v="2"/>
    <x v="5"/>
    <x v="10"/>
    <n v="938"/>
    <n v="189"/>
    <n v="9"/>
    <n v="1661"/>
    <n v="-723"/>
    <n v="-0.77078891257995741"/>
  </r>
  <r>
    <x v="5"/>
    <x v="4"/>
    <x v="3"/>
    <n v="1778"/>
    <n v="270"/>
    <n v="6"/>
    <n v="1747"/>
    <n v="31"/>
    <n v="1.7435320584926885E-2"/>
  </r>
  <r>
    <x v="4"/>
    <x v="3"/>
    <x v="0"/>
    <n v="1638"/>
    <n v="63"/>
    <n v="14"/>
    <n v="913"/>
    <n v="725"/>
    <n v="0.44261294261294259"/>
  </r>
  <r>
    <x v="3"/>
    <x v="4"/>
    <x v="4"/>
    <n v="154"/>
    <n v="21"/>
    <n v="13"/>
    <n v="276"/>
    <n v="-122"/>
    <n v="-0.79220779220779225"/>
  </r>
  <r>
    <x v="5"/>
    <x v="0"/>
    <x v="7"/>
    <n v="9835"/>
    <n v="207"/>
    <n v="10"/>
    <n v="2022"/>
    <n v="7813"/>
    <n v="0.79440772750381294"/>
  </r>
  <r>
    <x v="2"/>
    <x v="0"/>
    <x v="13"/>
    <n v="7273"/>
    <n v="96"/>
    <n v="11"/>
    <n v="1020"/>
    <n v="6253"/>
    <n v="0.85975525917778084"/>
  </r>
  <r>
    <x v="6"/>
    <x v="3"/>
    <x v="7"/>
    <n v="6909"/>
    <n v="81"/>
    <n v="10"/>
    <n v="791"/>
    <n v="6118"/>
    <n v="0.88551165146909827"/>
  </r>
  <r>
    <x v="2"/>
    <x v="3"/>
    <x v="17"/>
    <n v="3920"/>
    <n v="306"/>
    <n v="5"/>
    <n v="1521"/>
    <n v="2399"/>
    <n v="0.61198979591836733"/>
  </r>
  <r>
    <x v="9"/>
    <x v="3"/>
    <x v="20"/>
    <n v="4858"/>
    <n v="279"/>
    <n v="9"/>
    <n v="2511"/>
    <n v="2347"/>
    <n v="0.48312062577192261"/>
  </r>
  <r>
    <x v="7"/>
    <x v="4"/>
    <x v="2"/>
    <n v="3549"/>
    <n v="3"/>
    <n v="12"/>
    <n v="36"/>
    <n v="3513"/>
    <n v="0.98985629754860527"/>
  </r>
  <r>
    <x v="5"/>
    <x v="3"/>
    <x v="18"/>
    <n v="966"/>
    <n v="198"/>
    <n v="17"/>
    <n v="3313"/>
    <n v="-2347"/>
    <n v="-2.4296066252587991"/>
  </r>
  <r>
    <x v="6"/>
    <x v="3"/>
    <x v="3"/>
    <n v="385"/>
    <n v="249"/>
    <n v="6"/>
    <n v="1611"/>
    <n v="-1226"/>
    <n v="-3.1844155844155844"/>
  </r>
  <r>
    <x v="4"/>
    <x v="5"/>
    <x v="10"/>
    <n v="2219"/>
    <n v="75"/>
    <n v="9"/>
    <n v="659"/>
    <n v="1560"/>
    <n v="0.70301937809824244"/>
  </r>
  <r>
    <x v="2"/>
    <x v="2"/>
    <x v="1"/>
    <n v="2954"/>
    <n v="189"/>
    <n v="9"/>
    <n v="1635"/>
    <n v="1319"/>
    <n v="0.44651320243737308"/>
  </r>
  <r>
    <x v="5"/>
    <x v="2"/>
    <x v="1"/>
    <n v="280"/>
    <n v="87"/>
    <n v="9"/>
    <n v="753"/>
    <n v="-473"/>
    <n v="-1.6892857142857143"/>
  </r>
  <r>
    <x v="3"/>
    <x v="2"/>
    <x v="0"/>
    <n v="6118"/>
    <n v="174"/>
    <n v="14"/>
    <n v="2521"/>
    <n v="3597"/>
    <n v="0.58793723439032364"/>
  </r>
  <r>
    <x v="7"/>
    <x v="3"/>
    <x v="16"/>
    <n v="4802"/>
    <n v="36"/>
    <n v="12"/>
    <n v="422"/>
    <n v="4380"/>
    <n v="0.91211995002082469"/>
  </r>
  <r>
    <x v="2"/>
    <x v="4"/>
    <x v="17"/>
    <n v="4137"/>
    <n v="60"/>
    <n v="5"/>
    <n v="298"/>
    <n v="3839"/>
    <n v="0.92796712593666908"/>
  </r>
  <r>
    <x v="8"/>
    <x v="1"/>
    <x v="14"/>
    <n v="2023"/>
    <n v="78"/>
    <n v="6"/>
    <n v="506"/>
    <n v="1517"/>
    <n v="0.74987642115669795"/>
  </r>
  <r>
    <x v="2"/>
    <x v="2"/>
    <x v="0"/>
    <n v="9051"/>
    <n v="57"/>
    <n v="14"/>
    <n v="826"/>
    <n v="8225"/>
    <n v="0.90873936581593195"/>
  </r>
  <r>
    <x v="2"/>
    <x v="0"/>
    <x v="19"/>
    <n v="2919"/>
    <n v="45"/>
    <n v="10"/>
    <n v="467"/>
    <n v="2452"/>
    <n v="0.8400137033230558"/>
  </r>
  <r>
    <x v="3"/>
    <x v="4"/>
    <x v="7"/>
    <n v="5915"/>
    <n v="3"/>
    <n v="10"/>
    <n v="29"/>
    <n v="5886"/>
    <n v="0.99509721048182587"/>
  </r>
  <r>
    <x v="9"/>
    <x v="1"/>
    <x v="16"/>
    <n v="2562"/>
    <n v="6"/>
    <n v="12"/>
    <n v="70"/>
    <n v="2492"/>
    <n v="0.97267759562841527"/>
  </r>
  <r>
    <x v="6"/>
    <x v="0"/>
    <x v="4"/>
    <n v="8813"/>
    <n v="21"/>
    <n v="13"/>
    <n v="276"/>
    <n v="8537"/>
    <n v="0.96868262793600368"/>
  </r>
  <r>
    <x v="6"/>
    <x v="2"/>
    <x v="3"/>
    <n v="6111"/>
    <n v="3"/>
    <n v="6"/>
    <n v="19"/>
    <n v="6092"/>
    <n v="0.99689085256095566"/>
  </r>
  <r>
    <x v="1"/>
    <x v="5"/>
    <x v="6"/>
    <n v="3507"/>
    <n v="288"/>
    <n v="6"/>
    <n v="1668"/>
    <n v="1839"/>
    <n v="0.52437981180496152"/>
  </r>
  <r>
    <x v="4"/>
    <x v="2"/>
    <x v="11"/>
    <n v="4319"/>
    <n v="30"/>
    <n v="9"/>
    <n v="280"/>
    <n v="4039"/>
    <n v="0.93517017828200977"/>
  </r>
  <r>
    <x v="0"/>
    <x v="4"/>
    <x v="21"/>
    <n v="609"/>
    <n v="87"/>
    <n v="6"/>
    <n v="487"/>
    <n v="122"/>
    <n v="0.20032840722495895"/>
  </r>
  <r>
    <x v="0"/>
    <x v="3"/>
    <x v="18"/>
    <n v="6370"/>
    <n v="30"/>
    <n v="17"/>
    <n v="502"/>
    <n v="5868"/>
    <n v="0.92119309262166404"/>
  </r>
  <r>
    <x v="6"/>
    <x v="4"/>
    <x v="15"/>
    <n v="5474"/>
    <n v="168"/>
    <n v="8"/>
    <n v="1284"/>
    <n v="4190"/>
    <n v="0.76543660942637926"/>
  </r>
  <r>
    <x v="0"/>
    <x v="2"/>
    <x v="18"/>
    <n v="3164"/>
    <n v="306"/>
    <n v="17"/>
    <n v="5119"/>
    <n v="-1955"/>
    <n v="-0.61788874841972186"/>
  </r>
  <r>
    <x v="4"/>
    <x v="1"/>
    <x v="2"/>
    <n v="1302"/>
    <n v="402"/>
    <n v="12"/>
    <n v="4776"/>
    <n v="-3474"/>
    <n v="-2.6682027649769586"/>
  </r>
  <r>
    <x v="8"/>
    <x v="0"/>
    <x v="19"/>
    <n v="7308"/>
    <n v="327"/>
    <n v="10"/>
    <n v="3394"/>
    <n v="3914"/>
    <n v="0.53557744937055285"/>
  </r>
  <r>
    <x v="0"/>
    <x v="0"/>
    <x v="18"/>
    <n v="6132"/>
    <n v="93"/>
    <n v="17"/>
    <n v="1556"/>
    <n v="4576"/>
    <n v="0.74624918460534895"/>
  </r>
  <r>
    <x v="9"/>
    <x v="1"/>
    <x v="8"/>
    <n v="3472"/>
    <n v="96"/>
    <n v="12"/>
    <n v="1123"/>
    <n v="2349"/>
    <n v="0.67655529953917048"/>
  </r>
  <r>
    <x v="1"/>
    <x v="3"/>
    <x v="3"/>
    <n v="9660"/>
    <n v="27"/>
    <n v="6"/>
    <n v="175"/>
    <n v="9485"/>
    <n v="0.98188405797101452"/>
  </r>
  <r>
    <x v="2"/>
    <x v="4"/>
    <x v="21"/>
    <n v="2436"/>
    <n v="99"/>
    <n v="6"/>
    <n v="554"/>
    <n v="1882"/>
    <n v="0.77257799671592775"/>
  </r>
  <r>
    <x v="2"/>
    <x v="4"/>
    <x v="5"/>
    <n v="9506"/>
    <n v="87"/>
    <n v="12"/>
    <n v="1076"/>
    <n v="8430"/>
    <n v="0.88680833158005468"/>
  </r>
  <r>
    <x v="9"/>
    <x v="0"/>
    <x v="20"/>
    <n v="245"/>
    <n v="288"/>
    <n v="9"/>
    <n v="2592"/>
    <n v="-2347"/>
    <n v="-9.5795918367346946"/>
  </r>
  <r>
    <x v="1"/>
    <x v="1"/>
    <x v="13"/>
    <n v="2702"/>
    <n v="363"/>
    <n v="11"/>
    <n v="3855"/>
    <n v="-1153"/>
    <n v="-0.42672094744633604"/>
  </r>
  <r>
    <x v="9"/>
    <x v="5"/>
    <x v="9"/>
    <n v="700"/>
    <n v="87"/>
    <n v="3"/>
    <n v="271"/>
    <n v="429"/>
    <n v="0.61285714285714288"/>
  </r>
  <r>
    <x v="4"/>
    <x v="5"/>
    <x v="9"/>
    <n v="3759"/>
    <n v="150"/>
    <n v="3"/>
    <n v="467"/>
    <n v="3293"/>
    <n v="0.87603085927108271"/>
  </r>
  <r>
    <x v="7"/>
    <x v="1"/>
    <x v="9"/>
    <n v="1589"/>
    <n v="303"/>
    <n v="3"/>
    <n v="942"/>
    <n v="647"/>
    <n v="0.40717432347388294"/>
  </r>
  <r>
    <x v="5"/>
    <x v="1"/>
    <x v="19"/>
    <n v="5194"/>
    <n v="288"/>
    <n v="10"/>
    <n v="2989"/>
    <n v="2205"/>
    <n v="0.42452830188679247"/>
  </r>
  <r>
    <x v="9"/>
    <x v="2"/>
    <x v="11"/>
    <n v="945"/>
    <n v="75"/>
    <n v="9"/>
    <n v="700"/>
    <n v="245"/>
    <n v="0.25925925925925924"/>
  </r>
  <r>
    <x v="0"/>
    <x v="4"/>
    <x v="6"/>
    <n v="1988"/>
    <n v="39"/>
    <n v="6"/>
    <n v="226"/>
    <n v="1762"/>
    <n v="0.88631790744466799"/>
  </r>
  <r>
    <x v="4"/>
    <x v="5"/>
    <x v="1"/>
    <n v="6734"/>
    <n v="123"/>
    <n v="9"/>
    <n v="1064"/>
    <n v="5670"/>
    <n v="0.84199584199584199"/>
  </r>
  <r>
    <x v="0"/>
    <x v="2"/>
    <x v="2"/>
    <n v="217"/>
    <n v="36"/>
    <n v="12"/>
    <n v="428"/>
    <n v="-211"/>
    <n v="-0.97235023041474655"/>
  </r>
  <r>
    <x v="6"/>
    <x v="5"/>
    <x v="7"/>
    <n v="6279"/>
    <n v="237"/>
    <n v="10"/>
    <n v="2315"/>
    <n v="3964"/>
    <n v="0.63131071826724006"/>
  </r>
  <r>
    <x v="0"/>
    <x v="2"/>
    <x v="11"/>
    <n v="4424"/>
    <n v="201"/>
    <n v="9"/>
    <n v="1875"/>
    <n v="2549"/>
    <n v="0.5761754068716094"/>
  </r>
  <r>
    <x v="7"/>
    <x v="2"/>
    <x v="9"/>
    <n v="189"/>
    <n v="48"/>
    <n v="3"/>
    <n v="149"/>
    <n v="40"/>
    <n v="0.21164021164021163"/>
  </r>
  <r>
    <x v="6"/>
    <x v="1"/>
    <x v="7"/>
    <n v="490"/>
    <n v="84"/>
    <n v="10"/>
    <n v="821"/>
    <n v="-331"/>
    <n v="-0.67551020408163265"/>
  </r>
  <r>
    <x v="1"/>
    <x v="0"/>
    <x v="20"/>
    <n v="434"/>
    <n v="87"/>
    <n v="9"/>
    <n v="783"/>
    <n v="-349"/>
    <n v="-0.80414746543778803"/>
  </r>
  <r>
    <x v="5"/>
    <x v="4"/>
    <x v="0"/>
    <n v="10129"/>
    <n v="312"/>
    <n v="14"/>
    <n v="4521"/>
    <n v="5608"/>
    <n v="0.55365781419686055"/>
  </r>
  <r>
    <x v="8"/>
    <x v="3"/>
    <x v="19"/>
    <n v="1652"/>
    <n v="102"/>
    <n v="10"/>
    <n v="1059"/>
    <n v="593"/>
    <n v="0.35895883777239712"/>
  </r>
  <r>
    <x v="1"/>
    <x v="4"/>
    <x v="20"/>
    <n v="6433"/>
    <n v="78"/>
    <n v="9"/>
    <n v="702"/>
    <n v="5731"/>
    <n v="0.89087517487952739"/>
  </r>
  <r>
    <x v="8"/>
    <x v="5"/>
    <x v="14"/>
    <n v="2212"/>
    <n v="117"/>
    <n v="6"/>
    <n v="759"/>
    <n v="1453"/>
    <n v="0.65687160940325495"/>
  </r>
  <r>
    <x v="3"/>
    <x v="1"/>
    <x v="15"/>
    <n v="609"/>
    <n v="99"/>
    <n v="8"/>
    <n v="756"/>
    <n v="-147"/>
    <n v="-0.2413793103448276"/>
  </r>
  <r>
    <x v="0"/>
    <x v="1"/>
    <x v="17"/>
    <n v="1638"/>
    <n v="48"/>
    <n v="5"/>
    <n v="239"/>
    <n v="1399"/>
    <n v="0.85409035409035405"/>
  </r>
  <r>
    <x v="5"/>
    <x v="5"/>
    <x v="16"/>
    <n v="3829"/>
    <n v="24"/>
    <n v="12"/>
    <n v="282"/>
    <n v="3547"/>
    <n v="0.92635152781405061"/>
  </r>
  <r>
    <x v="0"/>
    <x v="3"/>
    <x v="16"/>
    <n v="5775"/>
    <n v="42"/>
    <n v="12"/>
    <n v="493"/>
    <n v="5282"/>
    <n v="0.91463203463203469"/>
  </r>
  <r>
    <x v="4"/>
    <x v="1"/>
    <x v="13"/>
    <n v="1071"/>
    <n v="270"/>
    <n v="11"/>
    <n v="2867"/>
    <n v="-1796"/>
    <n v="-1.676937441643324"/>
  </r>
  <r>
    <x v="1"/>
    <x v="2"/>
    <x v="14"/>
    <n v="5019"/>
    <n v="150"/>
    <n v="6"/>
    <n v="974"/>
    <n v="4046"/>
    <n v="0.80613668061366806"/>
  </r>
  <r>
    <x v="7"/>
    <x v="0"/>
    <x v="16"/>
    <n v="2863"/>
    <n v="42"/>
    <n v="12"/>
    <n v="493"/>
    <n v="2370"/>
    <n v="0.82780300384212369"/>
  </r>
  <r>
    <x v="0"/>
    <x v="1"/>
    <x v="12"/>
    <n v="1617"/>
    <n v="126"/>
    <n v="7"/>
    <n v="902"/>
    <n v="715"/>
    <n v="0.44217687074829931"/>
  </r>
  <r>
    <x v="4"/>
    <x v="0"/>
    <x v="21"/>
    <n v="6818"/>
    <n v="6"/>
    <n v="6"/>
    <n v="34"/>
    <n v="6784"/>
    <n v="0.99501320035200935"/>
  </r>
  <r>
    <x v="8"/>
    <x v="1"/>
    <x v="16"/>
    <n v="6657"/>
    <n v="276"/>
    <n v="12"/>
    <n v="3237"/>
    <n v="3420"/>
    <n v="0.51374493014871558"/>
  </r>
  <r>
    <x v="8"/>
    <x v="5"/>
    <x v="9"/>
    <n v="2919"/>
    <n v="93"/>
    <n v="3"/>
    <n v="289"/>
    <n v="2630"/>
    <n v="0.90099349092154846"/>
  </r>
  <r>
    <x v="7"/>
    <x v="2"/>
    <x v="6"/>
    <n v="3094"/>
    <n v="246"/>
    <n v="6"/>
    <n v="1424"/>
    <n v="1670"/>
    <n v="0.53975436328377502"/>
  </r>
  <r>
    <x v="4"/>
    <x v="3"/>
    <x v="17"/>
    <n v="2989"/>
    <n v="3"/>
    <n v="5"/>
    <n v="15"/>
    <n v="2974"/>
    <n v="0.99498159919705587"/>
  </r>
  <r>
    <x v="1"/>
    <x v="4"/>
    <x v="18"/>
    <n v="2268"/>
    <n v="63"/>
    <n v="17"/>
    <n v="1054"/>
    <n v="1214"/>
    <n v="0.53527336860670194"/>
  </r>
  <r>
    <x v="6"/>
    <x v="1"/>
    <x v="6"/>
    <n v="4753"/>
    <n v="246"/>
    <n v="6"/>
    <n v="1424"/>
    <n v="3329"/>
    <n v="0.70039974752787715"/>
  </r>
  <r>
    <x v="7"/>
    <x v="5"/>
    <x v="15"/>
    <n v="7511"/>
    <n v="120"/>
    <n v="8"/>
    <n v="917"/>
    <n v="6594"/>
    <n v="0.87791239515377451"/>
  </r>
  <r>
    <x v="7"/>
    <x v="4"/>
    <x v="6"/>
    <n v="4326"/>
    <n v="348"/>
    <n v="6"/>
    <n v="2015"/>
    <n v="2311"/>
    <n v="0.53421174294960705"/>
  </r>
  <r>
    <x v="3"/>
    <x v="5"/>
    <x v="14"/>
    <n v="4935"/>
    <n v="126"/>
    <n v="6"/>
    <n v="818"/>
    <n v="4117"/>
    <n v="0.83424518743667675"/>
  </r>
  <r>
    <x v="4"/>
    <x v="1"/>
    <x v="0"/>
    <n v="4781"/>
    <n v="123"/>
    <n v="14"/>
    <n v="1782"/>
    <n v="2999"/>
    <n v="0.62727462873875761"/>
  </r>
  <r>
    <x v="6"/>
    <x v="4"/>
    <x v="4"/>
    <n v="7483"/>
    <n v="45"/>
    <n v="13"/>
    <n v="592"/>
    <n v="6891"/>
    <n v="0.92088734464786848"/>
  </r>
  <r>
    <x v="9"/>
    <x v="4"/>
    <x v="2"/>
    <n v="6860"/>
    <n v="126"/>
    <n v="12"/>
    <n v="1497"/>
    <n v="5363"/>
    <n v="0.78177842565597666"/>
  </r>
  <r>
    <x v="0"/>
    <x v="0"/>
    <x v="12"/>
    <n v="9002"/>
    <n v="72"/>
    <n v="7"/>
    <n v="516"/>
    <n v="8486"/>
    <n v="0.94267940457676069"/>
  </r>
  <r>
    <x v="4"/>
    <x v="2"/>
    <x v="12"/>
    <n v="1400"/>
    <n v="135"/>
    <n v="7"/>
    <n v="967"/>
    <n v="433"/>
    <n v="0.30928571428571427"/>
  </r>
  <r>
    <x v="9"/>
    <x v="5"/>
    <x v="7"/>
    <n v="4053"/>
    <n v="24"/>
    <n v="10"/>
    <n v="234"/>
    <n v="3819"/>
    <n v="0.9422649888971133"/>
  </r>
  <r>
    <x v="5"/>
    <x v="2"/>
    <x v="6"/>
    <n v="2149"/>
    <n v="117"/>
    <n v="6"/>
    <n v="677"/>
    <n v="1472"/>
    <n v="0.68496975337366217"/>
  </r>
  <r>
    <x v="8"/>
    <x v="3"/>
    <x v="12"/>
    <n v="3640"/>
    <n v="51"/>
    <n v="7"/>
    <n v="365"/>
    <n v="3275"/>
    <n v="0.89972527472527475"/>
  </r>
  <r>
    <x v="7"/>
    <x v="3"/>
    <x v="14"/>
    <n v="630"/>
    <n v="36"/>
    <n v="6"/>
    <n v="234"/>
    <n v="396"/>
    <n v="0.62857142857142856"/>
  </r>
  <r>
    <x v="2"/>
    <x v="1"/>
    <x v="18"/>
    <n v="2429"/>
    <n v="144"/>
    <n v="17"/>
    <n v="2409"/>
    <n v="20"/>
    <n v="8.2338410868670227E-3"/>
  </r>
  <r>
    <x v="2"/>
    <x v="2"/>
    <x v="4"/>
    <n v="2142"/>
    <n v="114"/>
    <n v="13"/>
    <n v="1499"/>
    <n v="643"/>
    <n v="0.30018674136321194"/>
  </r>
  <r>
    <x v="5"/>
    <x v="0"/>
    <x v="0"/>
    <n v="6454"/>
    <n v="54"/>
    <n v="14"/>
    <n v="782"/>
    <n v="5672"/>
    <n v="0.87883483111248839"/>
  </r>
  <r>
    <x v="5"/>
    <x v="0"/>
    <x v="10"/>
    <n v="4487"/>
    <n v="333"/>
    <n v="9"/>
    <n v="2927"/>
    <n v="1560"/>
    <n v="0.34767104969913082"/>
  </r>
  <r>
    <x v="8"/>
    <x v="0"/>
    <x v="2"/>
    <n v="938"/>
    <n v="366"/>
    <n v="12"/>
    <n v="4348"/>
    <n v="-3410"/>
    <n v="-3.6353944562899785"/>
  </r>
  <r>
    <x v="8"/>
    <x v="4"/>
    <x v="21"/>
    <n v="8841"/>
    <n v="303"/>
    <n v="6"/>
    <n v="1697"/>
    <n v="7144"/>
    <n v="0.80805338762583423"/>
  </r>
  <r>
    <x v="7"/>
    <x v="3"/>
    <x v="5"/>
    <n v="4018"/>
    <n v="126"/>
    <n v="12"/>
    <n v="1559"/>
    <n v="2459"/>
    <n v="0.61199601791936287"/>
  </r>
  <r>
    <x v="3"/>
    <x v="0"/>
    <x v="16"/>
    <n v="714"/>
    <n v="231"/>
    <n v="12"/>
    <n v="2710"/>
    <n v="-1996"/>
    <n v="-2.795518207282913"/>
  </r>
  <r>
    <x v="2"/>
    <x v="4"/>
    <x v="4"/>
    <n v="3850"/>
    <n v="102"/>
    <n v="13"/>
    <n v="1341"/>
    <n v="2509"/>
    <n v="0.65168831168831165"/>
  </r>
</pivotCacheRecords>
</file>

<file path=xl/pivotCache/pivotCacheRecords2.xml><?xml version="1.0" encoding="utf-8"?>
<pivotCacheRecords xmlns="http://schemas.openxmlformats.org/spreadsheetml/2006/main" xmlns:r="http://schemas.openxmlformats.org/officeDocument/2006/relationships" count="237">
  <r>
    <s v="Brien Boise"/>
    <x v="0"/>
    <x v="0"/>
    <n v="6706"/>
    <n v="459"/>
    <n v="9"/>
    <n v="3970"/>
    <n v="2736"/>
    <n v="0.40799284223083804"/>
  </r>
  <r>
    <s v="Carla Molina"/>
    <x v="1"/>
    <x v="1"/>
    <n v="9632"/>
    <n v="288"/>
    <n v="6"/>
    <n v="1863"/>
    <n v="7769"/>
    <n v="0.80658222591362128"/>
  </r>
  <r>
    <s v="Ram Mahesh"/>
    <x v="0"/>
    <x v="2"/>
    <n v="8869"/>
    <n v="432"/>
    <n v="12"/>
    <n v="5344"/>
    <n v="3525"/>
    <n v="0.39745179839891759"/>
  </r>
  <r>
    <s v="Curtice Advani"/>
    <x v="2"/>
    <x v="3"/>
    <n v="2681"/>
    <n v="54"/>
    <n v="6"/>
    <n v="313"/>
    <n v="2368"/>
    <n v="0.88325251771726965"/>
  </r>
  <r>
    <s v="Brien Boise"/>
    <x v="0"/>
    <x v="4"/>
    <n v="5012"/>
    <n v="210"/>
    <n v="10"/>
    <n v="2052"/>
    <n v="2960"/>
    <n v="0.59058260175578614"/>
  </r>
  <r>
    <s v="Ches Bonnell"/>
    <x v="2"/>
    <x v="5"/>
    <n v="1281"/>
    <n v="75"/>
    <n v="12"/>
    <n v="878"/>
    <n v="404"/>
    <n v="0.31537861046057769"/>
  </r>
  <r>
    <s v="Gigi Bohling"/>
    <x v="3"/>
    <x v="5"/>
    <n v="4991"/>
    <n v="12"/>
    <n v="12"/>
    <n v="140"/>
    <n v="4851"/>
    <n v="0.97194950911640954"/>
  </r>
  <r>
    <s v="Gunar Cockshoot"/>
    <x v="3"/>
    <x v="6"/>
    <n v="3983"/>
    <n v="144"/>
    <n v="3"/>
    <n v="448"/>
    <n v="3535"/>
    <n v="0.88752196836555364"/>
  </r>
  <r>
    <s v="Husein Augar"/>
    <x v="2"/>
    <x v="7"/>
    <n v="2646"/>
    <n v="120"/>
    <n v="9"/>
    <n v="1055"/>
    <n v="1591"/>
    <n v="0.6012849584278156"/>
  </r>
  <r>
    <s v="Gunar Cockshoot"/>
    <x v="0"/>
    <x v="8"/>
    <n v="2114"/>
    <n v="66"/>
    <n v="7"/>
    <n v="473"/>
    <n v="1641"/>
    <n v="0.77625354777672662"/>
  </r>
  <r>
    <s v="Curtice Advani"/>
    <x v="3"/>
    <x v="3"/>
    <n v="7693"/>
    <n v="87"/>
    <n v="6"/>
    <n v="504"/>
    <n v="7189"/>
    <n v="0.93448589626933576"/>
  </r>
  <r>
    <s v="Gigi Bohling"/>
    <x v="4"/>
    <x v="9"/>
    <n v="15610"/>
    <n v="339"/>
    <n v="11"/>
    <n v="3600"/>
    <n v="12010"/>
    <n v="0.76937860345932096"/>
  </r>
  <r>
    <s v="Barr Faughny"/>
    <x v="5"/>
    <x v="9"/>
    <n v="9443"/>
    <n v="162"/>
    <n v="11"/>
    <n v="1720"/>
    <n v="7723"/>
    <n v="0.81785449539341315"/>
  </r>
  <r>
    <s v="Husein Augar"/>
    <x v="4"/>
    <x v="10"/>
    <n v="8155"/>
    <n v="90"/>
    <n v="6"/>
    <n v="584"/>
    <n v="7571"/>
    <n v="0.92838749233599016"/>
  </r>
  <r>
    <s v="Brien Boise"/>
    <x v="2"/>
    <x v="10"/>
    <n v="1701"/>
    <n v="234"/>
    <n v="6"/>
    <n v="1519"/>
    <n v="182"/>
    <n v="0.10699588477366255"/>
  </r>
  <r>
    <s v="Oby Sorrel"/>
    <x v="2"/>
    <x v="4"/>
    <n v="2205"/>
    <n v="141"/>
    <n v="10"/>
    <n v="1378"/>
    <n v="827"/>
    <n v="0.3750566893424036"/>
  </r>
  <r>
    <s v="Brien Boise"/>
    <x v="3"/>
    <x v="11"/>
    <n v="1771"/>
    <n v="204"/>
    <n v="8"/>
    <n v="1559"/>
    <n v="212"/>
    <n v="0.11970638057594579"/>
  </r>
  <r>
    <s v="Carla Molina"/>
    <x v="1"/>
    <x v="12"/>
    <n v="10311"/>
    <n v="231"/>
    <n v="9"/>
    <n v="2155"/>
    <n v="8156"/>
    <n v="0.79099990301619627"/>
  </r>
  <r>
    <s v="Gigi Bohling"/>
    <x v="1"/>
    <x v="10"/>
    <n v="6314"/>
    <n v="15"/>
    <n v="6"/>
    <n v="97"/>
    <n v="6217"/>
    <n v="0.9846373139056066"/>
  </r>
  <r>
    <s v="Oby Sorrel"/>
    <x v="3"/>
    <x v="10"/>
    <n v="4683"/>
    <n v="30"/>
    <n v="6"/>
    <n v="195"/>
    <n v="4488"/>
    <n v="0.95836002562459965"/>
  </r>
  <r>
    <s v="Carla Molina"/>
    <x v="3"/>
    <x v="13"/>
    <n v="6398"/>
    <n v="102"/>
    <n v="5"/>
    <n v="507"/>
    <n v="5891"/>
    <n v="0.92075648640200058"/>
  </r>
  <r>
    <s v="Barr Faughny"/>
    <x v="0"/>
    <x v="11"/>
    <n v="553"/>
    <n v="15"/>
    <n v="8"/>
    <n v="115"/>
    <n v="438"/>
    <n v="0.79204339963833637"/>
  </r>
  <r>
    <s v="Brien Boise"/>
    <x v="5"/>
    <x v="14"/>
    <n v="7021"/>
    <n v="183"/>
    <n v="14"/>
    <n v="2652"/>
    <n v="4369"/>
    <n v="0.62227602905569013"/>
  </r>
  <r>
    <s v="Ram Mahesh"/>
    <x v="5"/>
    <x v="4"/>
    <n v="5817"/>
    <n v="12"/>
    <n v="10"/>
    <n v="117"/>
    <n v="5700"/>
    <n v="0.97988653945332649"/>
  </r>
  <r>
    <s v="Carla Molina"/>
    <x v="5"/>
    <x v="5"/>
    <n v="3976"/>
    <n v="72"/>
    <n v="12"/>
    <n v="842"/>
    <n v="3134"/>
    <n v="0.7882293762575453"/>
  </r>
  <r>
    <s v="Barr Faughny"/>
    <x v="5"/>
    <x v="15"/>
    <n v="6027"/>
    <n v="144"/>
    <n v="10"/>
    <n v="1495"/>
    <n v="4532"/>
    <n v="0.75194956031192961"/>
  </r>
  <r>
    <s v="Ches Bonnell"/>
    <x v="4"/>
    <x v="0"/>
    <n v="3262"/>
    <n v="75"/>
    <n v="9"/>
    <n v="649"/>
    <n v="2613"/>
    <n v="0.80104230533415077"/>
  </r>
  <r>
    <s v="Ram Mahesh"/>
    <x v="4"/>
    <x v="16"/>
    <n v="2289"/>
    <n v="135"/>
    <n v="17"/>
    <n v="2259"/>
    <n v="30"/>
    <n v="1.310615989515072E-2"/>
  </r>
  <r>
    <s v="Gigi Bohling"/>
    <x v="4"/>
    <x v="16"/>
    <n v="6986"/>
    <n v="21"/>
    <n v="17"/>
    <n v="351"/>
    <n v="6635"/>
    <n v="0.94975665616948179"/>
  </r>
  <r>
    <s v="Barr Faughny"/>
    <x v="2"/>
    <x v="10"/>
    <n v="4417"/>
    <n v="153"/>
    <n v="6"/>
    <n v="993"/>
    <n v="3424"/>
    <n v="0.77518677835635041"/>
  </r>
  <r>
    <s v="Curtice Advani"/>
    <x v="4"/>
    <x v="17"/>
    <n v="1442"/>
    <n v="15"/>
    <n v="12"/>
    <n v="176"/>
    <n v="1266"/>
    <n v="0.87794729542302363"/>
  </r>
  <r>
    <s v="Barr Faughny"/>
    <x v="3"/>
    <x v="11"/>
    <n v="238"/>
    <n v="18"/>
    <n v="8"/>
    <n v="138"/>
    <n v="100"/>
    <n v="0.42016806722689076"/>
  </r>
  <r>
    <s v="Curtice Advani"/>
    <x v="3"/>
    <x v="10"/>
    <n v="4949"/>
    <n v="189"/>
    <n v="6"/>
    <n v="1227"/>
    <n v="3722"/>
    <n v="0.75207112547989496"/>
  </r>
  <r>
    <s v="Gigi Bohling"/>
    <x v="2"/>
    <x v="0"/>
    <n v="5075"/>
    <n v="21"/>
    <n v="9"/>
    <n v="182"/>
    <n v="4893"/>
    <n v="0.96413793103448275"/>
  </r>
  <r>
    <s v="Gunar Cockshoot"/>
    <x v="1"/>
    <x v="7"/>
    <n v="9198"/>
    <n v="36"/>
    <n v="9"/>
    <n v="316"/>
    <n v="8882"/>
    <n v="0.96564470537073277"/>
  </r>
  <r>
    <s v="Curtice Advani"/>
    <x v="4"/>
    <x v="8"/>
    <n v="3339"/>
    <n v="75"/>
    <n v="7"/>
    <n v="537"/>
    <n v="2802"/>
    <n v="0.83917340521114103"/>
  </r>
  <r>
    <s v="Ram Mahesh"/>
    <x v="4"/>
    <x v="6"/>
    <n v="5019"/>
    <n v="156"/>
    <n v="3"/>
    <n v="485"/>
    <n v="4534"/>
    <n v="0.90336720462243469"/>
  </r>
  <r>
    <s v="Gigi Bohling"/>
    <x v="1"/>
    <x v="7"/>
    <n v="16184"/>
    <n v="39"/>
    <n v="9"/>
    <n v="343"/>
    <n v="15841"/>
    <n v="0.97880622837370246"/>
  </r>
  <r>
    <s v="Barr Faughny"/>
    <x v="1"/>
    <x v="8"/>
    <n v="8211"/>
    <n v="75"/>
    <n v="7"/>
    <n v="537"/>
    <n v="7674"/>
    <n v="0.93459992692729266"/>
  </r>
  <r>
    <s v="Barr Faughny"/>
    <x v="2"/>
    <x v="15"/>
    <n v="6580"/>
    <n v="183"/>
    <n v="10"/>
    <n v="1900"/>
    <n v="4680"/>
    <n v="0.71124620060790278"/>
  </r>
  <r>
    <s v="Carla Molina"/>
    <x v="0"/>
    <x v="12"/>
    <n v="4760"/>
    <n v="69"/>
    <n v="9"/>
    <n v="644"/>
    <n v="4116"/>
    <n v="0.86470588235294121"/>
  </r>
  <r>
    <s v="Ram Mahesh"/>
    <x v="1"/>
    <x v="18"/>
    <n v="5439"/>
    <n v="30"/>
    <n v="13"/>
    <n v="395"/>
    <n v="5045"/>
    <n v="0.927560213274499"/>
  </r>
  <r>
    <s v="Carla Molina"/>
    <x v="4"/>
    <x v="6"/>
    <n v="1463"/>
    <n v="39"/>
    <n v="3"/>
    <n v="121"/>
    <n v="1342"/>
    <n v="0.91729323308270672"/>
  </r>
  <r>
    <s v="Gunar Cockshoot"/>
    <x v="4"/>
    <x v="0"/>
    <n v="7777"/>
    <n v="504"/>
    <n v="9"/>
    <n v="4360"/>
    <n v="3417"/>
    <n v="0.43937250867943939"/>
  </r>
  <r>
    <s v="Curtice Advani"/>
    <x v="4"/>
    <x v="16"/>
    <n v="4242"/>
    <n v="207"/>
    <n v="17"/>
    <n v="3463"/>
    <n v="779"/>
    <n v="0.18363979255068363"/>
  </r>
  <r>
    <s v="Curtice Advani"/>
    <x v="1"/>
    <x v="0"/>
    <n v="6118"/>
    <n v="9"/>
    <n v="9"/>
    <n v="78"/>
    <n v="6040"/>
    <n v="0.98725073553448839"/>
  </r>
  <r>
    <s v="Oby Sorrel"/>
    <x v="1"/>
    <x v="10"/>
    <n v="2317"/>
    <n v="261"/>
    <n v="6"/>
    <n v="1694"/>
    <n v="623"/>
    <n v="0.26888217522658608"/>
  </r>
  <r>
    <s v="Curtice Advani"/>
    <x v="2"/>
    <x v="7"/>
    <n v="938"/>
    <n v="6"/>
    <n v="9"/>
    <n v="53"/>
    <n v="885"/>
    <n v="0.94349680170575689"/>
  </r>
  <r>
    <s v="Brien Boise"/>
    <x v="3"/>
    <x v="17"/>
    <n v="9709"/>
    <n v="30"/>
    <n v="12"/>
    <n v="352"/>
    <n v="9357"/>
    <n v="0.96374497888557009"/>
  </r>
  <r>
    <s v="Ches Bonnell"/>
    <x v="4"/>
    <x v="9"/>
    <n v="2205"/>
    <n v="138"/>
    <n v="11"/>
    <n v="1466"/>
    <n v="739"/>
    <n v="0.33514739229024942"/>
  </r>
  <r>
    <s v="Ches Bonnell"/>
    <x v="3"/>
    <x v="6"/>
    <n v="4487"/>
    <n v="111"/>
    <n v="3"/>
    <n v="345"/>
    <n v="4142"/>
    <n v="0.92311121016269226"/>
  </r>
  <r>
    <s v="Gigi Bohling"/>
    <x v="0"/>
    <x v="1"/>
    <n v="2415"/>
    <n v="15"/>
    <n v="6"/>
    <n v="97"/>
    <n v="2318"/>
    <n v="0.95983436853002069"/>
  </r>
  <r>
    <s v="Ram Mahesh"/>
    <x v="4"/>
    <x v="11"/>
    <n v="4018"/>
    <n v="162"/>
    <n v="8"/>
    <n v="1238"/>
    <n v="2780"/>
    <n v="0.69188651070184171"/>
  </r>
  <r>
    <s v="Ches Bonnell"/>
    <x v="4"/>
    <x v="2"/>
    <n v="2226"/>
    <n v="48"/>
    <n v="12"/>
    <n v="594"/>
    <n v="1632"/>
    <n v="0.73315363881401618"/>
  </r>
  <r>
    <s v="Husein Augar"/>
    <x v="4"/>
    <x v="15"/>
    <n v="14329"/>
    <n v="150"/>
    <n v="10"/>
    <n v="1557"/>
    <n v="12772"/>
    <n v="0.89133924209644777"/>
  </r>
  <r>
    <s v="Husein Augar"/>
    <x v="4"/>
    <x v="9"/>
    <n v="8463"/>
    <n v="492"/>
    <n v="11"/>
    <n v="5225"/>
    <n v="3238"/>
    <n v="0.38260664067115679"/>
  </r>
  <r>
    <s v="Gigi Bohling"/>
    <x v="4"/>
    <x v="8"/>
    <n v="2891"/>
    <n v="102"/>
    <n v="7"/>
    <n v="730"/>
    <n v="2161"/>
    <n v="0.74749221722587345"/>
  </r>
  <r>
    <s v="Gunar Cockshoot"/>
    <x v="1"/>
    <x v="10"/>
    <n v="3773"/>
    <n v="165"/>
    <n v="6"/>
    <n v="1071"/>
    <n v="2702"/>
    <n v="0.71614100185528762"/>
  </r>
  <r>
    <s v="Curtice Advani"/>
    <x v="1"/>
    <x v="6"/>
    <n v="4970"/>
    <n v="156"/>
    <n v="3"/>
    <n v="485"/>
    <n v="4485"/>
    <n v="0.90241448692152915"/>
  </r>
  <r>
    <s v="Gigi Bohling"/>
    <x v="0"/>
    <x v="17"/>
    <n v="13391"/>
    <n v="201"/>
    <n v="12"/>
    <n v="2358"/>
    <n v="11033"/>
    <n v="0.82391158240609363"/>
  </r>
  <r>
    <s v="Brien Boise"/>
    <x v="5"/>
    <x v="3"/>
    <n v="8890"/>
    <n v="210"/>
    <n v="6"/>
    <n v="1216"/>
    <n v="7674"/>
    <n v="0.86321709786276712"/>
  </r>
  <r>
    <s v="Gunar Cockshoot"/>
    <x v="1"/>
    <x v="18"/>
    <n v="3339"/>
    <n v="39"/>
    <n v="13"/>
    <n v="513"/>
    <n v="2826"/>
    <n v="0.84636118598382748"/>
  </r>
  <r>
    <s v="Oby Sorrel"/>
    <x v="0"/>
    <x v="1"/>
    <n v="3808"/>
    <n v="279"/>
    <n v="6"/>
    <n v="1805"/>
    <n v="2003"/>
    <n v="0.52599789915966388"/>
  </r>
  <r>
    <s v="Barr Faughny"/>
    <x v="5"/>
    <x v="16"/>
    <n v="7812"/>
    <n v="81"/>
    <n v="17"/>
    <n v="1355"/>
    <n v="6457"/>
    <n v="0.82654889912954432"/>
  </r>
  <r>
    <s v="Ram Mahesh"/>
    <x v="3"/>
    <x v="11"/>
    <n v="7693"/>
    <n v="21"/>
    <n v="8"/>
    <n v="160"/>
    <n v="7533"/>
    <n v="0.97920187183153518"/>
  </r>
  <r>
    <s v="Oby Sorrel"/>
    <x v="1"/>
    <x v="8"/>
    <n v="2471"/>
    <n v="342"/>
    <n v="7"/>
    <n v="2449"/>
    <n v="22"/>
    <n v="8.9032780250910565E-3"/>
  </r>
  <r>
    <s v="Gigi Bohling"/>
    <x v="2"/>
    <x v="12"/>
    <n v="7189"/>
    <n v="54"/>
    <n v="9"/>
    <n v="504"/>
    <n v="6685"/>
    <n v="0.92989289191820834"/>
  </r>
  <r>
    <s v="Carla Molina"/>
    <x v="0"/>
    <x v="15"/>
    <n v="7455"/>
    <n v="216"/>
    <n v="10"/>
    <n v="2242"/>
    <n v="5213"/>
    <n v="0.69926224010731053"/>
  </r>
  <r>
    <s v="Gunar Cockshoot"/>
    <x v="4"/>
    <x v="19"/>
    <n v="3108"/>
    <n v="54"/>
    <n v="6"/>
    <n v="302"/>
    <n v="2806"/>
    <n v="0.90283140283140284"/>
  </r>
  <r>
    <s v="Husein Augar"/>
    <x v="3"/>
    <x v="10"/>
    <n v="2737"/>
    <n v="93"/>
    <n v="6"/>
    <n v="604"/>
    <n v="2133"/>
    <n v="0.77932042382170263"/>
  </r>
  <r>
    <s v="Husein Augar"/>
    <x v="3"/>
    <x v="18"/>
    <n v="4305"/>
    <n v="156"/>
    <n v="13"/>
    <n v="2051"/>
    <n v="2254"/>
    <n v="0.52357723577235771"/>
  </r>
  <r>
    <s v="Husein Augar"/>
    <x v="2"/>
    <x v="6"/>
    <n v="2408"/>
    <n v="9"/>
    <n v="3"/>
    <n v="28"/>
    <n v="2380"/>
    <n v="0.98837209302325579"/>
  </r>
  <r>
    <s v="Gunar Cockshoot"/>
    <x v="1"/>
    <x v="11"/>
    <n v="1281"/>
    <n v="18"/>
    <n v="8"/>
    <n v="138"/>
    <n v="1143"/>
    <n v="0.89227166276346603"/>
  </r>
  <r>
    <s v="Ram Mahesh"/>
    <x v="0"/>
    <x v="0"/>
    <n v="12348"/>
    <n v="234"/>
    <n v="9"/>
    <n v="2024"/>
    <n v="10324"/>
    <n v="0.8360868156786524"/>
  </r>
  <r>
    <s v="Gunar Cockshoot"/>
    <x v="4"/>
    <x v="15"/>
    <n v="3689"/>
    <n v="312"/>
    <n v="10"/>
    <n v="3239"/>
    <n v="450"/>
    <n v="0.12198427758200055"/>
  </r>
  <r>
    <s v="Ches Bonnell"/>
    <x v="1"/>
    <x v="11"/>
    <n v="2870"/>
    <n v="300"/>
    <n v="8"/>
    <n v="2292"/>
    <n v="578"/>
    <n v="0.2013937282229965"/>
  </r>
  <r>
    <s v="Carla Molina"/>
    <x v="3"/>
    <x v="20"/>
    <n v="2933"/>
    <n v="9"/>
    <n v="9"/>
    <n v="81"/>
    <n v="2852"/>
    <n v="0.97238322536651889"/>
  </r>
  <r>
    <s v="Gigi Bohling"/>
    <x v="0"/>
    <x v="21"/>
    <n v="2744"/>
    <n v="9"/>
    <n v="12"/>
    <n v="107"/>
    <n v="2637"/>
    <n v="0.9610058309037901"/>
  </r>
  <r>
    <s v="Ram Mahesh"/>
    <x v="1"/>
    <x v="2"/>
    <n v="9772"/>
    <n v="90"/>
    <n v="12"/>
    <n v="1113"/>
    <n v="8659"/>
    <n v="0.88610315186246413"/>
  </r>
  <r>
    <s v="Ches Bonnell"/>
    <x v="4"/>
    <x v="18"/>
    <n v="1568"/>
    <n v="96"/>
    <n v="13"/>
    <n v="1262"/>
    <n v="306"/>
    <n v="0.1951530612244898"/>
  </r>
  <r>
    <s v="Barr Faughny"/>
    <x v="1"/>
    <x v="7"/>
    <n v="11417"/>
    <n v="21"/>
    <n v="9"/>
    <n v="185"/>
    <n v="11232"/>
    <n v="0.98379609354471398"/>
  </r>
  <r>
    <s v="Ram Mahesh"/>
    <x v="4"/>
    <x v="19"/>
    <n v="6748"/>
    <n v="48"/>
    <n v="6"/>
    <n v="269"/>
    <n v="6479"/>
    <n v="0.96013633669235332"/>
  </r>
  <r>
    <s v="Oby Sorrel"/>
    <x v="1"/>
    <x v="16"/>
    <n v="1407"/>
    <n v="72"/>
    <n v="17"/>
    <n v="1205"/>
    <n v="202"/>
    <n v="0.14356787491115849"/>
  </r>
  <r>
    <s v="Brien Boise"/>
    <x v="0"/>
    <x v="8"/>
    <n v="2023"/>
    <n v="168"/>
    <n v="7"/>
    <n v="1203"/>
    <n v="820"/>
    <n v="0.40533860603064753"/>
  </r>
  <r>
    <s v="Gigi Bohling"/>
    <x v="5"/>
    <x v="19"/>
    <n v="5236"/>
    <n v="51"/>
    <n v="6"/>
    <n v="286"/>
    <n v="4950"/>
    <n v="0.94537815126050417"/>
  </r>
  <r>
    <s v="Carla Molina"/>
    <x v="1"/>
    <x v="11"/>
    <n v="1925"/>
    <n v="192"/>
    <n v="8"/>
    <n v="1467"/>
    <n v="458"/>
    <n v="0.23792207792207792"/>
  </r>
  <r>
    <s v="Ches Bonnell"/>
    <x v="3"/>
    <x v="5"/>
    <n v="6608"/>
    <n v="225"/>
    <n v="12"/>
    <n v="2633"/>
    <n v="3976"/>
    <n v="0.60169491525423724"/>
  </r>
  <r>
    <s v="Curtice Advani"/>
    <x v="4"/>
    <x v="19"/>
    <n v="8008"/>
    <n v="456"/>
    <n v="6"/>
    <n v="2554"/>
    <n v="5454"/>
    <n v="0.68106893106893107"/>
  </r>
  <r>
    <s v="Oby Sorrel"/>
    <x v="4"/>
    <x v="18"/>
    <n v="1428"/>
    <n v="93"/>
    <n v="13"/>
    <n v="1223"/>
    <n v="205"/>
    <n v="0.14355742296918766"/>
  </r>
  <r>
    <s v="Curtice Advani"/>
    <x v="3"/>
    <x v="1"/>
    <n v="1505"/>
    <n v="102"/>
    <n v="6"/>
    <n v="660"/>
    <n v="845"/>
    <n v="0.56146179401993357"/>
  </r>
  <r>
    <s v="Ches Bonnell"/>
    <x v="0"/>
    <x v="14"/>
    <n v="6755"/>
    <n v="252"/>
    <n v="14"/>
    <n v="3651"/>
    <n v="3104"/>
    <n v="0.45951147298297557"/>
  </r>
  <r>
    <s v="Barr Faughny"/>
    <x v="3"/>
    <x v="1"/>
    <n v="11571"/>
    <n v="138"/>
    <n v="6"/>
    <n v="893"/>
    <n v="10678"/>
    <n v="0.92282430213464695"/>
  </r>
  <r>
    <s v="Ram Mahesh"/>
    <x v="2"/>
    <x v="18"/>
    <n v="2541"/>
    <n v="90"/>
    <n v="13"/>
    <n v="1184"/>
    <n v="1358"/>
    <n v="0.53443526170798894"/>
  </r>
  <r>
    <s v="Ram Mahesh"/>
    <x v="2"/>
    <x v="21"/>
    <n v="6125"/>
    <n v="102"/>
    <n v="12"/>
    <n v="1212"/>
    <n v="4913"/>
    <n v="0.80212244897959184"/>
  </r>
  <r>
    <s v="Ches Bonnell"/>
    <x v="0"/>
    <x v="13"/>
    <n v="2793"/>
    <n v="114"/>
    <n v="5"/>
    <n v="567"/>
    <n v="2226"/>
    <n v="0.79699248120300747"/>
  </r>
  <r>
    <s v="Ches Bonnell"/>
    <x v="0"/>
    <x v="5"/>
    <n v="4606"/>
    <n v="63"/>
    <n v="12"/>
    <n v="737"/>
    <n v="3869"/>
    <n v="0.83999131567520624"/>
  </r>
  <r>
    <s v="Ches Bonnell"/>
    <x v="1"/>
    <x v="8"/>
    <n v="5551"/>
    <n v="252"/>
    <n v="7"/>
    <n v="1804"/>
    <n v="3747"/>
    <n v="0.6750135110790848"/>
  </r>
  <r>
    <s v="Oby Sorrel"/>
    <x v="1"/>
    <x v="0"/>
    <n v="6657"/>
    <n v="303"/>
    <n v="9"/>
    <n v="2621"/>
    <n v="4036"/>
    <n v="0.60627910470181767"/>
  </r>
  <r>
    <s v="Ches Bonnell"/>
    <x v="5"/>
    <x v="6"/>
    <n v="4438"/>
    <n v="246"/>
    <n v="3"/>
    <n v="765"/>
    <n v="3673"/>
    <n v="0.82762505633168093"/>
  </r>
  <r>
    <s v="Ches Bonnell"/>
    <x v="4"/>
    <x v="6"/>
    <n v="7777"/>
    <n v="39"/>
    <n v="3"/>
    <n v="121"/>
    <n v="7656"/>
    <n v="0.98444130127298446"/>
  </r>
  <r>
    <s v="Gigi Bohling"/>
    <x v="1"/>
    <x v="6"/>
    <n v="3339"/>
    <n v="348"/>
    <n v="3"/>
    <n v="1082"/>
    <n v="2257"/>
    <n v="0.67595088349805332"/>
  </r>
  <r>
    <s v="Ches Bonnell"/>
    <x v="3"/>
    <x v="2"/>
    <n v="6391"/>
    <n v="48"/>
    <n v="12"/>
    <n v="594"/>
    <n v="5797"/>
    <n v="0.90705679862306365"/>
  </r>
  <r>
    <s v="Ches Bonnell"/>
    <x v="2"/>
    <x v="15"/>
    <n v="5677"/>
    <n v="258"/>
    <n v="10"/>
    <n v="2678"/>
    <n v="2999"/>
    <n v="0.52827197463449005"/>
  </r>
  <r>
    <s v="Curtice Advani"/>
    <x v="5"/>
    <x v="6"/>
    <n v="6048"/>
    <n v="27"/>
    <n v="3"/>
    <n v="84"/>
    <n v="5964"/>
    <n v="0.98611111111111116"/>
  </r>
  <r>
    <s v="Brien Boise"/>
    <x v="2"/>
    <x v="0"/>
    <n v="3752"/>
    <n v="213"/>
    <n v="9"/>
    <n v="1842"/>
    <n v="1910"/>
    <n v="0.50906183368869939"/>
  </r>
  <r>
    <s v="Gigi Bohling"/>
    <x v="0"/>
    <x v="8"/>
    <n v="4480"/>
    <n v="357"/>
    <n v="7"/>
    <n v="2556"/>
    <n v="1924"/>
    <n v="0.42946428571428569"/>
  </r>
  <r>
    <s v="Ches Bonnell"/>
    <x v="0"/>
    <x v="16"/>
    <n v="2478"/>
    <n v="21"/>
    <n v="17"/>
    <n v="351"/>
    <n v="2127"/>
    <n v="0.85835351089588374"/>
  </r>
  <r>
    <s v="Carla Molina"/>
    <x v="4"/>
    <x v="2"/>
    <n v="7847"/>
    <n v="174"/>
    <n v="12"/>
    <n v="2152"/>
    <n v="5695"/>
    <n v="0.72575506563017711"/>
  </r>
  <r>
    <s v="Barr Faughny"/>
    <x v="3"/>
    <x v="6"/>
    <n v="9926"/>
    <n v="201"/>
    <n v="3"/>
    <n v="625"/>
    <n v="9301"/>
    <n v="0.9370340519846867"/>
  </r>
  <r>
    <s v="Curtice Advani"/>
    <x v="5"/>
    <x v="8"/>
    <n v="3052"/>
    <n v="378"/>
    <n v="7"/>
    <n v="2706"/>
    <n v="346"/>
    <n v="0.11336828309305373"/>
  </r>
  <r>
    <s v="Husein Augar"/>
    <x v="4"/>
    <x v="20"/>
    <n v="6832"/>
    <n v="27"/>
    <n v="9"/>
    <n v="243"/>
    <n v="6589"/>
    <n v="0.96443208430913352"/>
  </r>
  <r>
    <s v="Barr Faughny"/>
    <x v="5"/>
    <x v="7"/>
    <n v="2016"/>
    <n v="117"/>
    <n v="9"/>
    <n v="1028"/>
    <n v="988"/>
    <n v="0.49007936507936506"/>
  </r>
  <r>
    <s v="Curtice Advani"/>
    <x v="2"/>
    <x v="20"/>
    <n v="7322"/>
    <n v="36"/>
    <n v="9"/>
    <n v="324"/>
    <n v="6998"/>
    <n v="0.95574979513794045"/>
  </r>
  <r>
    <s v="Husein Augar"/>
    <x v="5"/>
    <x v="18"/>
    <n v="3192"/>
    <n v="72"/>
    <n v="13"/>
    <n v="947"/>
    <n v="2245"/>
    <n v="0.70332080200501257"/>
  </r>
  <r>
    <s v="Ches Bonnell"/>
    <x v="1"/>
    <x v="4"/>
    <n v="8435"/>
    <n v="42"/>
    <n v="10"/>
    <n v="410"/>
    <n v="8025"/>
    <n v="0.951393005334914"/>
  </r>
  <r>
    <s v="Ches Bonnell"/>
    <x v="4"/>
    <x v="13"/>
    <n v="8862"/>
    <n v="189"/>
    <n v="5"/>
    <n v="939"/>
    <n v="7923"/>
    <n v="0.89404197698036558"/>
  </r>
  <r>
    <s v="Gigi Bohling"/>
    <x v="4"/>
    <x v="17"/>
    <n v="7280"/>
    <n v="201"/>
    <n v="12"/>
    <n v="2358"/>
    <n v="4922"/>
    <n v="0.67609890109890114"/>
  </r>
  <r>
    <s v="Gunar Cockshoot"/>
    <x v="3"/>
    <x v="8"/>
    <n v="4592"/>
    <n v="324"/>
    <n v="7"/>
    <n v="2320"/>
    <n v="2272"/>
    <n v="0.49477351916376305"/>
  </r>
  <r>
    <s v="Husein Augar"/>
    <x v="0"/>
    <x v="17"/>
    <n v="7833"/>
    <n v="243"/>
    <n v="12"/>
    <n v="2850"/>
    <n v="4983"/>
    <n v="0.63615472998851019"/>
  </r>
  <r>
    <s v="Barr Faughny"/>
    <x v="5"/>
    <x v="20"/>
    <n v="7651"/>
    <n v="213"/>
    <n v="9"/>
    <n v="1917"/>
    <n v="5734"/>
    <n v="0.74944451705659387"/>
  </r>
  <r>
    <s v="Ram Mahesh"/>
    <x v="2"/>
    <x v="12"/>
    <n v="5670"/>
    <n v="297"/>
    <n v="9"/>
    <n v="2771"/>
    <n v="2899"/>
    <n v="0.51128747795414464"/>
  </r>
  <r>
    <s v="Ches Bonnell"/>
    <x v="0"/>
    <x v="7"/>
    <n v="2135"/>
    <n v="27"/>
    <n v="9"/>
    <n v="237"/>
    <n v="1898"/>
    <n v="0.88899297423887591"/>
  </r>
  <r>
    <s v="Ram Mahesh"/>
    <x v="4"/>
    <x v="10"/>
    <n v="2779"/>
    <n v="75"/>
    <n v="6"/>
    <n v="487"/>
    <n v="2292"/>
    <n v="0.82475710687297588"/>
  </r>
  <r>
    <s v="Oby Sorrel"/>
    <x v="5"/>
    <x v="2"/>
    <n v="12950"/>
    <n v="30"/>
    <n v="12"/>
    <n v="371"/>
    <n v="12579"/>
    <n v="0.97135135135135131"/>
  </r>
  <r>
    <s v="Ches Bonnell"/>
    <x v="1"/>
    <x v="1"/>
    <n v="2646"/>
    <n v="177"/>
    <n v="6"/>
    <n v="1145"/>
    <n v="1501"/>
    <n v="0.56727135298563869"/>
  </r>
  <r>
    <s v="Ram Mahesh"/>
    <x v="4"/>
    <x v="2"/>
    <n v="3794"/>
    <n v="159"/>
    <n v="12"/>
    <n v="1967"/>
    <n v="1827"/>
    <n v="0.48154981549815495"/>
  </r>
  <r>
    <s v="Gunar Cockshoot"/>
    <x v="4"/>
    <x v="9"/>
    <n v="2583"/>
    <n v="18"/>
    <n v="11"/>
    <n v="191"/>
    <n v="2392"/>
    <n v="0.92605497483546262"/>
  </r>
  <r>
    <s v="Ches Bonnell"/>
    <x v="0"/>
    <x v="11"/>
    <n v="4585"/>
    <n v="240"/>
    <n v="8"/>
    <n v="1834"/>
    <n v="2751"/>
    <n v="0.6"/>
  </r>
  <r>
    <s v="Gigi Bohling"/>
    <x v="4"/>
    <x v="2"/>
    <n v="1652"/>
    <n v="93"/>
    <n v="12"/>
    <n v="1150"/>
    <n v="502"/>
    <n v="0.30387409200968524"/>
  </r>
  <r>
    <s v="Oby Sorrel"/>
    <x v="4"/>
    <x v="19"/>
    <n v="4991"/>
    <n v="9"/>
    <n v="6"/>
    <n v="50"/>
    <n v="4941"/>
    <n v="0.98998196754157486"/>
  </r>
  <r>
    <s v="Brien Boise"/>
    <x v="4"/>
    <x v="7"/>
    <n v="2009"/>
    <n v="219"/>
    <n v="9"/>
    <n v="1925"/>
    <n v="84"/>
    <n v="4.1811846689895474E-2"/>
  </r>
  <r>
    <s v="Barr Faughny"/>
    <x v="5"/>
    <x v="4"/>
    <n v="1568"/>
    <n v="141"/>
    <n v="10"/>
    <n v="1378"/>
    <n v="190"/>
    <n v="0.1211734693877551"/>
  </r>
  <r>
    <s v="Carla Molina"/>
    <x v="3"/>
    <x v="9"/>
    <n v="3388"/>
    <n v="123"/>
    <n v="11"/>
    <n v="1306"/>
    <n v="2082"/>
    <n v="0.61452184179456903"/>
  </r>
  <r>
    <s v="Ram Mahesh"/>
    <x v="2"/>
    <x v="13"/>
    <n v="623"/>
    <n v="51"/>
    <n v="5"/>
    <n v="253"/>
    <n v="370"/>
    <n v="0.593900481540931"/>
  </r>
  <r>
    <s v="Curtice Advani"/>
    <x v="1"/>
    <x v="21"/>
    <n v="10073"/>
    <n v="120"/>
    <n v="12"/>
    <n v="1426"/>
    <n v="8647"/>
    <n v="0.85843343591780008"/>
  </r>
  <r>
    <s v="Brien Boise"/>
    <x v="5"/>
    <x v="19"/>
    <n v="1561"/>
    <n v="27"/>
    <n v="6"/>
    <n v="151"/>
    <n v="1410"/>
    <n v="0.90326713645099299"/>
  </r>
  <r>
    <s v="Husein Augar"/>
    <x v="1"/>
    <x v="16"/>
    <n v="11522"/>
    <n v="204"/>
    <n v="17"/>
    <n v="3413"/>
    <n v="8109"/>
    <n v="0.70378406526644677"/>
  </r>
  <r>
    <s v="Curtice Advani"/>
    <x v="2"/>
    <x v="12"/>
    <n v="2317"/>
    <n v="123"/>
    <n v="9"/>
    <n v="1148"/>
    <n v="1169"/>
    <n v="0.50453172205438068"/>
  </r>
  <r>
    <s v="Oby Sorrel"/>
    <x v="3"/>
    <x v="15"/>
    <n v="3059"/>
    <n v="27"/>
    <n v="10"/>
    <n v="280"/>
    <n v="2779"/>
    <n v="0.90846681922196793"/>
  </r>
  <r>
    <s v="Carla Molina"/>
    <x v="3"/>
    <x v="19"/>
    <n v="2324"/>
    <n v="177"/>
    <n v="6"/>
    <n v="991"/>
    <n v="1333"/>
    <n v="0.57358003442340788"/>
  </r>
  <r>
    <s v="Gunar Cockshoot"/>
    <x v="5"/>
    <x v="19"/>
    <n v="4956"/>
    <n v="171"/>
    <n v="6"/>
    <n v="958"/>
    <n v="3998"/>
    <n v="0.80669895076674736"/>
  </r>
  <r>
    <s v="Oby Sorrel"/>
    <x v="4"/>
    <x v="11"/>
    <n v="5355"/>
    <n v="204"/>
    <n v="8"/>
    <n v="1559"/>
    <n v="3796"/>
    <n v="0.70887021475256773"/>
  </r>
  <r>
    <s v="Gunar Cockshoot"/>
    <x v="4"/>
    <x v="5"/>
    <n v="7259"/>
    <n v="276"/>
    <n v="12"/>
    <n v="3229"/>
    <n v="4030"/>
    <n v="0.55517288882766225"/>
  </r>
  <r>
    <s v="Brien Boise"/>
    <x v="3"/>
    <x v="19"/>
    <n v="6279"/>
    <n v="45"/>
    <n v="6"/>
    <n v="252"/>
    <n v="6027"/>
    <n v="0.95986622073578598"/>
  </r>
  <r>
    <s v="Ram Mahesh"/>
    <x v="2"/>
    <x v="8"/>
    <n v="2541"/>
    <n v="45"/>
    <n v="7"/>
    <n v="322"/>
    <n v="2219"/>
    <n v="0.8732782369146006"/>
  </r>
  <r>
    <s v="Curtice Advani"/>
    <x v="0"/>
    <x v="16"/>
    <n v="3864"/>
    <n v="177"/>
    <n v="17"/>
    <n v="2961"/>
    <n v="903"/>
    <n v="0.23369565217391305"/>
  </r>
  <r>
    <s v="Gigi Bohling"/>
    <x v="1"/>
    <x v="12"/>
    <n v="6146"/>
    <n v="63"/>
    <n v="9"/>
    <n v="588"/>
    <n v="5558"/>
    <n v="0.90432801822323461"/>
  </r>
  <r>
    <s v="Husein Augar"/>
    <x v="5"/>
    <x v="1"/>
    <n v="2639"/>
    <n v="204"/>
    <n v="6"/>
    <n v="1320"/>
    <n v="1319"/>
    <n v="0.49981053429329292"/>
  </r>
  <r>
    <s v="Gunar Cockshoot"/>
    <x v="4"/>
    <x v="18"/>
    <n v="6300"/>
    <n v="42"/>
    <n v="13"/>
    <n v="552"/>
    <n v="5748"/>
    <n v="0.9123809523809524"/>
  </r>
  <r>
    <s v="Husein Augar"/>
    <x v="3"/>
    <x v="19"/>
    <n v="2856"/>
    <n v="246"/>
    <n v="6"/>
    <n v="1378"/>
    <n v="1478"/>
    <n v="0.5175070028011205"/>
  </r>
  <r>
    <s v="Husein Augar"/>
    <x v="4"/>
    <x v="6"/>
    <n v="707"/>
    <n v="174"/>
    <n v="3"/>
    <n v="541"/>
    <n v="166"/>
    <n v="0.2347949080622348"/>
  </r>
  <r>
    <s v="Brien Boise"/>
    <x v="0"/>
    <x v="14"/>
    <n v="3598"/>
    <n v="81"/>
    <n v="14"/>
    <n v="1174"/>
    <n v="2424"/>
    <n v="0.67370761534185664"/>
  </r>
  <r>
    <s v="Ram Mahesh"/>
    <x v="0"/>
    <x v="4"/>
    <n v="6853"/>
    <n v="372"/>
    <n v="10"/>
    <n v="3634"/>
    <n v="3219"/>
    <n v="0.46972128994600904"/>
  </r>
  <r>
    <s v="Ram Mahesh"/>
    <x v="0"/>
    <x v="7"/>
    <n v="4725"/>
    <n v="174"/>
    <n v="9"/>
    <n v="1529"/>
    <n v="3196"/>
    <n v="0.67640211640211645"/>
  </r>
  <r>
    <s v="Carla Molina"/>
    <x v="1"/>
    <x v="0"/>
    <n v="10304"/>
    <n v="84"/>
    <n v="9"/>
    <n v="727"/>
    <n v="9577"/>
    <n v="0.92944487577639756"/>
  </r>
  <r>
    <s v="Gigi Bohling"/>
    <x v="1"/>
    <x v="14"/>
    <n v="1526"/>
    <n v="105"/>
    <n v="14"/>
    <n v="1521"/>
    <n v="5"/>
    <n v="3.27653997378768E-3"/>
  </r>
  <r>
    <s v="Ram Mahesh"/>
    <x v="5"/>
    <x v="15"/>
    <n v="3101"/>
    <n v="225"/>
    <n v="10"/>
    <n v="2336"/>
    <n v="766"/>
    <n v="0.24701709126088359"/>
  </r>
  <r>
    <s v="Barr Faughny"/>
    <x v="3"/>
    <x v="5"/>
    <n v="1057"/>
    <n v="54"/>
    <n v="12"/>
    <n v="632"/>
    <n v="425"/>
    <n v="0.40208136234626302"/>
  </r>
  <r>
    <s v="Ches Bonnell"/>
    <x v="3"/>
    <x v="19"/>
    <n v="5306"/>
    <n v="0"/>
    <n v="6"/>
    <n v="0"/>
    <n v="5306"/>
    <n v="1"/>
  </r>
  <r>
    <s v="Gigi Bohling"/>
    <x v="5"/>
    <x v="13"/>
    <n v="4018"/>
    <n v="171"/>
    <n v="5"/>
    <n v="850"/>
    <n v="3168"/>
    <n v="0.78845196615231461"/>
  </r>
  <r>
    <s v="Ches Bonnell"/>
    <x v="2"/>
    <x v="1"/>
    <n v="1778"/>
    <n v="270"/>
    <n v="6"/>
    <n v="1747"/>
    <n v="31"/>
    <n v="1.7435320584926885E-2"/>
  </r>
  <r>
    <s v="Curtice Advani"/>
    <x v="5"/>
    <x v="14"/>
    <n v="1638"/>
    <n v="63"/>
    <n v="14"/>
    <n v="913"/>
    <n v="725"/>
    <n v="0.44261294261294259"/>
  </r>
  <r>
    <s v="Ches Bonnell"/>
    <x v="3"/>
    <x v="4"/>
    <n v="9835"/>
    <n v="207"/>
    <n v="10"/>
    <n v="2022"/>
    <n v="7813"/>
    <n v="0.79440772750381294"/>
  </r>
  <r>
    <s v="Husein Augar"/>
    <x v="3"/>
    <x v="9"/>
    <n v="7273"/>
    <n v="96"/>
    <n v="11"/>
    <n v="1020"/>
    <n v="6253"/>
    <n v="0.85975525917778084"/>
  </r>
  <r>
    <s v="Gigi Bohling"/>
    <x v="5"/>
    <x v="4"/>
    <n v="6909"/>
    <n v="81"/>
    <n v="10"/>
    <n v="791"/>
    <n v="6118"/>
    <n v="0.88551165146909827"/>
  </r>
  <r>
    <s v="Husein Augar"/>
    <x v="5"/>
    <x v="13"/>
    <n v="3920"/>
    <n v="306"/>
    <n v="5"/>
    <n v="1521"/>
    <n v="2399"/>
    <n v="0.61198979591836733"/>
  </r>
  <r>
    <s v="Oby Sorrel"/>
    <x v="5"/>
    <x v="20"/>
    <n v="4858"/>
    <n v="279"/>
    <n v="9"/>
    <n v="2511"/>
    <n v="2347"/>
    <n v="0.48312062577192261"/>
  </r>
  <r>
    <s v="Barr Faughny"/>
    <x v="2"/>
    <x v="21"/>
    <n v="3549"/>
    <n v="3"/>
    <n v="12"/>
    <n v="36"/>
    <n v="3513"/>
    <n v="0.98985629754860527"/>
  </r>
  <r>
    <s v="Curtice Advani"/>
    <x v="4"/>
    <x v="7"/>
    <n v="2219"/>
    <n v="75"/>
    <n v="9"/>
    <n v="659"/>
    <n v="1560"/>
    <n v="0.70301937809824244"/>
  </r>
  <r>
    <s v="Husein Augar"/>
    <x v="1"/>
    <x v="0"/>
    <n v="2954"/>
    <n v="189"/>
    <n v="9"/>
    <n v="1635"/>
    <n v="1319"/>
    <n v="0.44651320243737308"/>
  </r>
  <r>
    <s v="Carla Molina"/>
    <x v="1"/>
    <x v="14"/>
    <n v="6118"/>
    <n v="174"/>
    <n v="14"/>
    <n v="2521"/>
    <n v="3597"/>
    <n v="0.58793723439032364"/>
  </r>
  <r>
    <s v="Barr Faughny"/>
    <x v="5"/>
    <x v="17"/>
    <n v="4802"/>
    <n v="36"/>
    <n v="12"/>
    <n v="422"/>
    <n v="4380"/>
    <n v="0.91211995002082469"/>
  </r>
  <r>
    <s v="Husein Augar"/>
    <x v="2"/>
    <x v="13"/>
    <n v="4137"/>
    <n v="60"/>
    <n v="5"/>
    <n v="298"/>
    <n v="3839"/>
    <n v="0.92796712593666908"/>
  </r>
  <r>
    <s v="Gunar Cockshoot"/>
    <x v="0"/>
    <x v="10"/>
    <n v="2023"/>
    <n v="78"/>
    <n v="6"/>
    <n v="506"/>
    <n v="1517"/>
    <n v="0.74987642115669795"/>
  </r>
  <r>
    <s v="Husein Augar"/>
    <x v="1"/>
    <x v="14"/>
    <n v="9051"/>
    <n v="57"/>
    <n v="14"/>
    <n v="826"/>
    <n v="8225"/>
    <n v="0.90873936581593195"/>
  </r>
  <r>
    <s v="Husein Augar"/>
    <x v="3"/>
    <x v="15"/>
    <n v="2919"/>
    <n v="45"/>
    <n v="10"/>
    <n v="467"/>
    <n v="2452"/>
    <n v="0.8400137033230558"/>
  </r>
  <r>
    <s v="Carla Molina"/>
    <x v="2"/>
    <x v="4"/>
    <n v="5915"/>
    <n v="3"/>
    <n v="10"/>
    <n v="29"/>
    <n v="5886"/>
    <n v="0.99509721048182587"/>
  </r>
  <r>
    <s v="Oby Sorrel"/>
    <x v="0"/>
    <x v="17"/>
    <n v="2562"/>
    <n v="6"/>
    <n v="12"/>
    <n v="70"/>
    <n v="2492"/>
    <n v="0.97267759562841527"/>
  </r>
  <r>
    <s v="Gigi Bohling"/>
    <x v="3"/>
    <x v="18"/>
    <n v="8813"/>
    <n v="21"/>
    <n v="13"/>
    <n v="276"/>
    <n v="8537"/>
    <n v="0.96868262793600368"/>
  </r>
  <r>
    <s v="Gigi Bohling"/>
    <x v="1"/>
    <x v="1"/>
    <n v="6111"/>
    <n v="3"/>
    <n v="6"/>
    <n v="19"/>
    <n v="6092"/>
    <n v="0.99689085256095566"/>
  </r>
  <r>
    <s v="Brien Boise"/>
    <x v="4"/>
    <x v="3"/>
    <n v="3507"/>
    <n v="288"/>
    <n v="6"/>
    <n v="1668"/>
    <n v="1839"/>
    <n v="0.52437981180496152"/>
  </r>
  <r>
    <s v="Curtice Advani"/>
    <x v="1"/>
    <x v="12"/>
    <n v="4319"/>
    <n v="30"/>
    <n v="9"/>
    <n v="280"/>
    <n v="4039"/>
    <n v="0.93517017828200977"/>
  </r>
  <r>
    <s v="Ram Mahesh"/>
    <x v="2"/>
    <x v="19"/>
    <n v="609"/>
    <n v="87"/>
    <n v="6"/>
    <n v="487"/>
    <n v="122"/>
    <n v="0.20032840722495895"/>
  </r>
  <r>
    <s v="Ram Mahesh"/>
    <x v="5"/>
    <x v="16"/>
    <n v="6370"/>
    <n v="30"/>
    <n v="17"/>
    <n v="502"/>
    <n v="5868"/>
    <n v="0.92119309262166404"/>
  </r>
  <r>
    <s v="Gigi Bohling"/>
    <x v="2"/>
    <x v="11"/>
    <n v="5474"/>
    <n v="168"/>
    <n v="8"/>
    <n v="1284"/>
    <n v="4190"/>
    <n v="0.76543660942637926"/>
  </r>
  <r>
    <s v="Gunar Cockshoot"/>
    <x v="3"/>
    <x v="15"/>
    <n v="7308"/>
    <n v="327"/>
    <n v="10"/>
    <n v="3394"/>
    <n v="3914"/>
    <n v="0.53557744937055285"/>
  </r>
  <r>
    <s v="Ram Mahesh"/>
    <x v="3"/>
    <x v="16"/>
    <n v="6132"/>
    <n v="93"/>
    <n v="17"/>
    <n v="1556"/>
    <n v="4576"/>
    <n v="0.74624918460534895"/>
  </r>
  <r>
    <s v="Oby Sorrel"/>
    <x v="0"/>
    <x v="5"/>
    <n v="3472"/>
    <n v="96"/>
    <n v="12"/>
    <n v="1123"/>
    <n v="2349"/>
    <n v="0.67655529953917048"/>
  </r>
  <r>
    <s v="Brien Boise"/>
    <x v="5"/>
    <x v="1"/>
    <n v="9660"/>
    <n v="27"/>
    <n v="6"/>
    <n v="175"/>
    <n v="9485"/>
    <n v="0.98188405797101452"/>
  </r>
  <r>
    <s v="Husein Augar"/>
    <x v="2"/>
    <x v="19"/>
    <n v="2436"/>
    <n v="99"/>
    <n v="6"/>
    <n v="554"/>
    <n v="1882"/>
    <n v="0.77257799671592775"/>
  </r>
  <r>
    <s v="Husein Augar"/>
    <x v="2"/>
    <x v="2"/>
    <n v="9506"/>
    <n v="87"/>
    <n v="12"/>
    <n v="1076"/>
    <n v="8430"/>
    <n v="0.88680833158005468"/>
  </r>
  <r>
    <s v="Oby Sorrel"/>
    <x v="4"/>
    <x v="6"/>
    <n v="700"/>
    <n v="87"/>
    <n v="3"/>
    <n v="271"/>
    <n v="429"/>
    <n v="0.61285714285714288"/>
  </r>
  <r>
    <s v="Curtice Advani"/>
    <x v="4"/>
    <x v="6"/>
    <n v="3759"/>
    <n v="150"/>
    <n v="3"/>
    <n v="467"/>
    <n v="3293"/>
    <n v="0.87603085927108271"/>
  </r>
  <r>
    <s v="Barr Faughny"/>
    <x v="0"/>
    <x v="6"/>
    <n v="1589"/>
    <n v="303"/>
    <n v="3"/>
    <n v="942"/>
    <n v="647"/>
    <n v="0.40717432347388294"/>
  </r>
  <r>
    <s v="Ches Bonnell"/>
    <x v="0"/>
    <x v="15"/>
    <n v="5194"/>
    <n v="288"/>
    <n v="10"/>
    <n v="2989"/>
    <n v="2205"/>
    <n v="0.42452830188679247"/>
  </r>
  <r>
    <s v="Oby Sorrel"/>
    <x v="1"/>
    <x v="12"/>
    <n v="945"/>
    <n v="75"/>
    <n v="9"/>
    <n v="700"/>
    <n v="245"/>
    <n v="0.25925925925925924"/>
  </r>
  <r>
    <s v="Ram Mahesh"/>
    <x v="2"/>
    <x v="3"/>
    <n v="1988"/>
    <n v="39"/>
    <n v="6"/>
    <n v="226"/>
    <n v="1762"/>
    <n v="0.88631790744466799"/>
  </r>
  <r>
    <s v="Curtice Advani"/>
    <x v="4"/>
    <x v="0"/>
    <n v="6734"/>
    <n v="123"/>
    <n v="9"/>
    <n v="1064"/>
    <n v="5670"/>
    <n v="0.84199584199584199"/>
  </r>
  <r>
    <s v="Gigi Bohling"/>
    <x v="4"/>
    <x v="4"/>
    <n v="6279"/>
    <n v="237"/>
    <n v="10"/>
    <n v="2315"/>
    <n v="3964"/>
    <n v="0.63131071826724006"/>
  </r>
  <r>
    <s v="Ram Mahesh"/>
    <x v="1"/>
    <x v="12"/>
    <n v="4424"/>
    <n v="201"/>
    <n v="9"/>
    <n v="1875"/>
    <n v="2549"/>
    <n v="0.5761754068716094"/>
  </r>
  <r>
    <s v="Barr Faughny"/>
    <x v="1"/>
    <x v="6"/>
    <n v="189"/>
    <n v="48"/>
    <n v="3"/>
    <n v="149"/>
    <n v="40"/>
    <n v="0.21164021164021163"/>
  </r>
  <r>
    <s v="Ches Bonnell"/>
    <x v="2"/>
    <x v="14"/>
    <n v="10129"/>
    <n v="312"/>
    <n v="14"/>
    <n v="4521"/>
    <n v="5608"/>
    <n v="0.55365781419686055"/>
  </r>
  <r>
    <s v="Gunar Cockshoot"/>
    <x v="5"/>
    <x v="15"/>
    <n v="1652"/>
    <n v="102"/>
    <n v="10"/>
    <n v="1059"/>
    <n v="593"/>
    <n v="0.35895883777239712"/>
  </r>
  <r>
    <s v="Brien Boise"/>
    <x v="2"/>
    <x v="20"/>
    <n v="6433"/>
    <n v="78"/>
    <n v="9"/>
    <n v="702"/>
    <n v="5731"/>
    <n v="0.89087517487952739"/>
  </r>
  <r>
    <s v="Gunar Cockshoot"/>
    <x v="4"/>
    <x v="10"/>
    <n v="2212"/>
    <n v="117"/>
    <n v="6"/>
    <n v="759"/>
    <n v="1453"/>
    <n v="0.65687160940325495"/>
  </r>
  <r>
    <s v="Ram Mahesh"/>
    <x v="0"/>
    <x v="13"/>
    <n v="1638"/>
    <n v="48"/>
    <n v="5"/>
    <n v="239"/>
    <n v="1399"/>
    <n v="0.85409035409035405"/>
  </r>
  <r>
    <s v="Ches Bonnell"/>
    <x v="4"/>
    <x v="17"/>
    <n v="3829"/>
    <n v="24"/>
    <n v="12"/>
    <n v="282"/>
    <n v="3547"/>
    <n v="0.92635152781405061"/>
  </r>
  <r>
    <s v="Ram Mahesh"/>
    <x v="5"/>
    <x v="17"/>
    <n v="5775"/>
    <n v="42"/>
    <n v="12"/>
    <n v="493"/>
    <n v="5282"/>
    <n v="0.91463203463203469"/>
  </r>
  <r>
    <s v="Brien Boise"/>
    <x v="1"/>
    <x v="10"/>
    <n v="5019"/>
    <n v="150"/>
    <n v="6"/>
    <n v="974"/>
    <n v="4046"/>
    <n v="0.80613668061366806"/>
  </r>
  <r>
    <s v="Barr Faughny"/>
    <x v="3"/>
    <x v="17"/>
    <n v="2863"/>
    <n v="42"/>
    <n v="12"/>
    <n v="493"/>
    <n v="2370"/>
    <n v="0.82780300384212369"/>
  </r>
  <r>
    <s v="Ram Mahesh"/>
    <x v="0"/>
    <x v="8"/>
    <n v="1617"/>
    <n v="126"/>
    <n v="7"/>
    <n v="902"/>
    <n v="715"/>
    <n v="0.44217687074829931"/>
  </r>
  <r>
    <s v="Curtice Advani"/>
    <x v="3"/>
    <x v="19"/>
    <n v="6818"/>
    <n v="6"/>
    <n v="6"/>
    <n v="34"/>
    <n v="6784"/>
    <n v="0.99501320035200935"/>
  </r>
  <r>
    <s v="Gunar Cockshoot"/>
    <x v="0"/>
    <x v="17"/>
    <n v="6657"/>
    <n v="276"/>
    <n v="12"/>
    <n v="3237"/>
    <n v="3420"/>
    <n v="0.51374493014871558"/>
  </r>
  <r>
    <s v="Gunar Cockshoot"/>
    <x v="4"/>
    <x v="6"/>
    <n v="2919"/>
    <n v="93"/>
    <n v="3"/>
    <n v="289"/>
    <n v="2630"/>
    <n v="0.90099349092154846"/>
  </r>
  <r>
    <s v="Barr Faughny"/>
    <x v="1"/>
    <x v="3"/>
    <n v="3094"/>
    <n v="246"/>
    <n v="6"/>
    <n v="1424"/>
    <n v="1670"/>
    <n v="0.53975436328377502"/>
  </r>
  <r>
    <s v="Curtice Advani"/>
    <x v="5"/>
    <x v="13"/>
    <n v="2989"/>
    <n v="3"/>
    <n v="5"/>
    <n v="15"/>
    <n v="2974"/>
    <n v="0.99498159919705587"/>
  </r>
  <r>
    <s v="Brien Boise"/>
    <x v="2"/>
    <x v="16"/>
    <n v="2268"/>
    <n v="63"/>
    <n v="17"/>
    <n v="1054"/>
    <n v="1214"/>
    <n v="0.53527336860670194"/>
  </r>
  <r>
    <s v="Gigi Bohling"/>
    <x v="0"/>
    <x v="3"/>
    <n v="4753"/>
    <n v="246"/>
    <n v="6"/>
    <n v="1424"/>
    <n v="3329"/>
    <n v="0.70039974752787715"/>
  </r>
  <r>
    <s v="Barr Faughny"/>
    <x v="4"/>
    <x v="11"/>
    <n v="7511"/>
    <n v="120"/>
    <n v="8"/>
    <n v="917"/>
    <n v="6594"/>
    <n v="0.87791239515377451"/>
  </r>
  <r>
    <s v="Barr Faughny"/>
    <x v="2"/>
    <x v="3"/>
    <n v="4326"/>
    <n v="348"/>
    <n v="6"/>
    <n v="2015"/>
    <n v="2311"/>
    <n v="0.53421174294960705"/>
  </r>
  <r>
    <s v="Carla Molina"/>
    <x v="4"/>
    <x v="10"/>
    <n v="4935"/>
    <n v="126"/>
    <n v="6"/>
    <n v="818"/>
    <n v="4117"/>
    <n v="0.83424518743667675"/>
  </r>
  <r>
    <s v="Curtice Advani"/>
    <x v="0"/>
    <x v="14"/>
    <n v="4781"/>
    <n v="123"/>
    <n v="14"/>
    <n v="1782"/>
    <n v="2999"/>
    <n v="0.62727462873875761"/>
  </r>
  <r>
    <s v="Gigi Bohling"/>
    <x v="2"/>
    <x v="18"/>
    <n v="7483"/>
    <n v="45"/>
    <n v="13"/>
    <n v="592"/>
    <n v="6891"/>
    <n v="0.92088734464786848"/>
  </r>
  <r>
    <s v="Oby Sorrel"/>
    <x v="2"/>
    <x v="21"/>
    <n v="6860"/>
    <n v="126"/>
    <n v="12"/>
    <n v="1497"/>
    <n v="5363"/>
    <n v="0.78177842565597666"/>
  </r>
  <r>
    <s v="Ram Mahesh"/>
    <x v="3"/>
    <x v="8"/>
    <n v="9002"/>
    <n v="72"/>
    <n v="7"/>
    <n v="516"/>
    <n v="8486"/>
    <n v="0.94267940457676069"/>
  </r>
  <r>
    <s v="Curtice Advani"/>
    <x v="1"/>
    <x v="8"/>
    <n v="1400"/>
    <n v="135"/>
    <n v="7"/>
    <n v="967"/>
    <n v="433"/>
    <n v="0.30928571428571427"/>
  </r>
  <r>
    <s v="Oby Sorrel"/>
    <x v="4"/>
    <x v="4"/>
    <n v="4053"/>
    <n v="24"/>
    <n v="10"/>
    <n v="234"/>
    <n v="3819"/>
    <n v="0.9422649888971133"/>
  </r>
  <r>
    <s v="Ches Bonnell"/>
    <x v="1"/>
    <x v="3"/>
    <n v="2149"/>
    <n v="117"/>
    <n v="6"/>
    <n v="677"/>
    <n v="1472"/>
    <n v="0.68496975337366217"/>
  </r>
  <r>
    <s v="Gunar Cockshoot"/>
    <x v="5"/>
    <x v="8"/>
    <n v="3640"/>
    <n v="51"/>
    <n v="7"/>
    <n v="365"/>
    <n v="3275"/>
    <n v="0.89972527472527475"/>
  </r>
  <r>
    <s v="Barr Faughny"/>
    <x v="5"/>
    <x v="10"/>
    <n v="630"/>
    <n v="36"/>
    <n v="6"/>
    <n v="234"/>
    <n v="396"/>
    <n v="0.62857142857142856"/>
  </r>
  <r>
    <s v="Husein Augar"/>
    <x v="0"/>
    <x v="16"/>
    <n v="2429"/>
    <n v="144"/>
    <n v="17"/>
    <n v="2409"/>
    <n v="20"/>
    <n v="8.2338410868670227E-3"/>
  </r>
  <r>
    <s v="Husein Augar"/>
    <x v="1"/>
    <x v="18"/>
    <n v="2142"/>
    <n v="114"/>
    <n v="13"/>
    <n v="1499"/>
    <n v="643"/>
    <n v="0.30018674136321194"/>
  </r>
  <r>
    <s v="Ches Bonnell"/>
    <x v="3"/>
    <x v="14"/>
    <n v="6454"/>
    <n v="54"/>
    <n v="14"/>
    <n v="782"/>
    <n v="5672"/>
    <n v="0.87883483111248839"/>
  </r>
  <r>
    <s v="Ches Bonnell"/>
    <x v="3"/>
    <x v="7"/>
    <n v="4487"/>
    <n v="333"/>
    <n v="9"/>
    <n v="2927"/>
    <n v="1560"/>
    <n v="0.34767104969913082"/>
  </r>
  <r>
    <s v="Gunar Cockshoot"/>
    <x v="2"/>
    <x v="19"/>
    <n v="8841"/>
    <n v="303"/>
    <n v="6"/>
    <n v="1697"/>
    <n v="7144"/>
    <n v="0.80805338762583423"/>
  </r>
  <r>
    <s v="Barr Faughny"/>
    <x v="5"/>
    <x v="2"/>
    <n v="4018"/>
    <n v="126"/>
    <n v="12"/>
    <n v="1559"/>
    <n v="2459"/>
    <n v="0.61199601791936287"/>
  </r>
  <r>
    <s v="Husein Augar"/>
    <x v="2"/>
    <x v="18"/>
    <n v="3850"/>
    <n v="102"/>
    <n v="13"/>
    <n v="1341"/>
    <n v="2509"/>
    <n v="0.65168831168831165"/>
  </r>
</pivotCacheRecords>
</file>

<file path=xl/pivotCache/pivotCacheRecords3.xml><?xml version="1.0" encoding="utf-8"?>
<pivotCacheRecords xmlns="http://schemas.openxmlformats.org/spreadsheetml/2006/main" xmlns:r="http://schemas.openxmlformats.org/officeDocument/2006/relationships" count="63">
  <r>
    <s v="Ram Mahesh"/>
    <x v="0"/>
    <x v="0"/>
    <n v="1624"/>
    <n v="114"/>
    <n v="14"/>
    <n v="1652"/>
    <n v="-28"/>
    <n v="-1.7241379310344827E-2"/>
  </r>
  <r>
    <s v="Husein Augar"/>
    <x v="1"/>
    <x v="1"/>
    <n v="959"/>
    <n v="147"/>
    <n v="12"/>
    <n v="1746"/>
    <n v="-787"/>
    <n v="-0.82064650677789364"/>
  </r>
  <r>
    <s v="Curtice Advani"/>
    <x v="2"/>
    <x v="2"/>
    <n v="2100"/>
    <n v="414"/>
    <n v="13"/>
    <n v="5444"/>
    <n v="-3344"/>
    <n v="-1.5923809523809525"/>
  </r>
  <r>
    <s v="Barr Faughny"/>
    <x v="2"/>
    <x v="2"/>
    <n v="1785"/>
    <n v="462"/>
    <n v="13"/>
    <n v="6075"/>
    <n v="-4290"/>
    <n v="-2.403361344537815"/>
  </r>
  <r>
    <s v="Barr Faughny"/>
    <x v="3"/>
    <x v="3"/>
    <n v="252"/>
    <n v="54"/>
    <n v="9"/>
    <n v="504"/>
    <n v="-252"/>
    <n v="-1"/>
  </r>
  <r>
    <s v="Gunar Cockshoot"/>
    <x v="1"/>
    <x v="2"/>
    <n v="2464"/>
    <n v="234"/>
    <n v="13"/>
    <n v="3077"/>
    <n v="-613"/>
    <n v="-0.24878246753246752"/>
  </r>
  <r>
    <s v="Carla Molina"/>
    <x v="3"/>
    <x v="4"/>
    <n v="336"/>
    <n v="144"/>
    <n v="10"/>
    <n v="1407"/>
    <n v="-1071"/>
    <n v="-3.1875"/>
  </r>
  <r>
    <s v="Carla Molina"/>
    <x v="1"/>
    <x v="5"/>
    <n v="2114"/>
    <n v="186"/>
    <n v="12"/>
    <n v="2182"/>
    <n v="-68"/>
    <n v="-3.2166508987701042E-2"/>
  </r>
  <r>
    <s v="Gunar Cockshoot"/>
    <x v="2"/>
    <x v="6"/>
    <n v="21"/>
    <n v="168"/>
    <n v="9"/>
    <n v="1477"/>
    <n v="-1456"/>
    <n v="-69.333333333333329"/>
  </r>
  <r>
    <s v="Oby Sorrel"/>
    <x v="1"/>
    <x v="7"/>
    <n v="1974"/>
    <n v="195"/>
    <n v="11"/>
    <n v="2071"/>
    <n v="-97"/>
    <n v="-4.9138804457953392E-2"/>
  </r>
  <r>
    <s v="Curtice Advani"/>
    <x v="4"/>
    <x v="8"/>
    <n v="1134"/>
    <n v="282"/>
    <n v="17"/>
    <n v="4718"/>
    <n v="-3584"/>
    <n v="-3.1604938271604937"/>
  </r>
  <r>
    <s v="Curtice Advani"/>
    <x v="0"/>
    <x v="6"/>
    <n v="1904"/>
    <n v="405"/>
    <n v="9"/>
    <n v="3560"/>
    <n v="-1656"/>
    <n v="-0.86974789915966388"/>
  </r>
  <r>
    <s v="Gunar Cockshoot"/>
    <x v="1"/>
    <x v="9"/>
    <n v="2415"/>
    <n v="255"/>
    <n v="12"/>
    <n v="2984"/>
    <n v="-569"/>
    <n v="-0.23561076604554865"/>
  </r>
  <r>
    <s v="Curtice Advani"/>
    <x v="5"/>
    <x v="10"/>
    <n v="497"/>
    <n v="63"/>
    <n v="9"/>
    <n v="567"/>
    <n v="-70"/>
    <n v="-0.14084507042253522"/>
  </r>
  <r>
    <s v="Husein Augar"/>
    <x v="0"/>
    <x v="11"/>
    <n v="1085"/>
    <n v="273"/>
    <n v="7"/>
    <n v="1955"/>
    <n v="-870"/>
    <n v="-0.8018433179723502"/>
  </r>
  <r>
    <s v="Gigi Bohling"/>
    <x v="0"/>
    <x v="12"/>
    <n v="182"/>
    <n v="48"/>
    <n v="6"/>
    <n v="278"/>
    <n v="-96"/>
    <n v="-0.52747252747252749"/>
  </r>
  <r>
    <s v="Gigi Bohling"/>
    <x v="3"/>
    <x v="13"/>
    <n v="861"/>
    <n v="195"/>
    <n v="8"/>
    <n v="1490"/>
    <n v="-629"/>
    <n v="-0.7305458768873403"/>
  </r>
  <r>
    <s v="Oby Sorrel"/>
    <x v="4"/>
    <x v="9"/>
    <n v="5586"/>
    <n v="525"/>
    <n v="12"/>
    <n v="6143"/>
    <n v="-557"/>
    <n v="-9.9713569638381669E-2"/>
  </r>
  <r>
    <s v="Carla Molina"/>
    <x v="5"/>
    <x v="14"/>
    <n v="854"/>
    <n v="309"/>
    <n v="10"/>
    <n v="3207"/>
    <n v="-2353"/>
    <n v="-2.7552693208430914"/>
  </r>
  <r>
    <s v="Husein Augar"/>
    <x v="1"/>
    <x v="15"/>
    <n v="98"/>
    <n v="159"/>
    <n v="6"/>
    <n v="890"/>
    <n v="-792"/>
    <n v="-8.0816326530612237"/>
  </r>
  <r>
    <s v="Barr Faughny"/>
    <x v="4"/>
    <x v="3"/>
    <n v="56"/>
    <n v="51"/>
    <n v="9"/>
    <n v="476"/>
    <n v="-420"/>
    <n v="-7.5"/>
  </r>
  <r>
    <s v="Oby Sorrel"/>
    <x v="4"/>
    <x v="3"/>
    <n v="63"/>
    <n v="123"/>
    <n v="9"/>
    <n v="1148"/>
    <n v="-1085"/>
    <n v="-17.222222222222221"/>
  </r>
  <r>
    <s v="Gunar Cockshoot"/>
    <x v="5"/>
    <x v="14"/>
    <n v="973"/>
    <n v="162"/>
    <n v="10"/>
    <n v="1682"/>
    <n v="-709"/>
    <n v="-0.72867420349434742"/>
  </r>
  <r>
    <s v="Oby Sorrel"/>
    <x v="1"/>
    <x v="10"/>
    <n v="567"/>
    <n v="228"/>
    <n v="9"/>
    <n v="2052"/>
    <n v="-1485"/>
    <n v="-2.6190476190476191"/>
  </r>
  <r>
    <s v="Curtice Advani"/>
    <x v="4"/>
    <x v="2"/>
    <n v="469"/>
    <n v="75"/>
    <n v="13"/>
    <n v="986"/>
    <n v="-517"/>
    <n v="-1.1023454157782515"/>
  </r>
  <r>
    <s v="Barr Faughny"/>
    <x v="5"/>
    <x v="8"/>
    <n v="798"/>
    <n v="519"/>
    <n v="17"/>
    <n v="8683"/>
    <n v="-7885"/>
    <n v="-9.8809523809523814"/>
  </r>
  <r>
    <s v="Curtice Advani"/>
    <x v="3"/>
    <x v="1"/>
    <n v="525"/>
    <n v="48"/>
    <n v="12"/>
    <n v="570"/>
    <n v="-45"/>
    <n v="-8.5714285714285715E-2"/>
  </r>
  <r>
    <s v="Carla Molina"/>
    <x v="0"/>
    <x v="0"/>
    <n v="1526"/>
    <n v="240"/>
    <n v="14"/>
    <n v="3478"/>
    <n v="-1952"/>
    <n v="-1.2791612057667103"/>
  </r>
  <r>
    <s v="Carla Molina"/>
    <x v="1"/>
    <x v="8"/>
    <n v="847"/>
    <n v="129"/>
    <n v="17"/>
    <n v="2158"/>
    <n v="-1311"/>
    <n v="-1.5478158205430932"/>
  </r>
  <r>
    <s v="Brien Boise"/>
    <x v="1"/>
    <x v="8"/>
    <n v="4753"/>
    <n v="300"/>
    <n v="17"/>
    <n v="5019"/>
    <n v="-266"/>
    <n v="-5.5964653902798235E-2"/>
  </r>
  <r>
    <s v="Curtice Advani"/>
    <x v="4"/>
    <x v="16"/>
    <n v="959"/>
    <n v="135"/>
    <n v="12"/>
    <n v="1670"/>
    <n v="-711"/>
    <n v="-0.7413972888425443"/>
  </r>
  <r>
    <s v="Brien Boise"/>
    <x v="4"/>
    <x v="4"/>
    <n v="168"/>
    <n v="84"/>
    <n v="10"/>
    <n v="821"/>
    <n v="-653"/>
    <n v="-3.8869047619047619"/>
  </r>
  <r>
    <s v="Gigi Bohling"/>
    <x v="0"/>
    <x v="4"/>
    <n v="518"/>
    <n v="75"/>
    <n v="10"/>
    <n v="733"/>
    <n v="-215"/>
    <n v="-0.41505791505791506"/>
  </r>
  <r>
    <s v="Husein Augar"/>
    <x v="0"/>
    <x v="1"/>
    <n v="259"/>
    <n v="207"/>
    <n v="12"/>
    <n v="2459"/>
    <n v="-2200"/>
    <n v="-8.494208494208495"/>
  </r>
  <r>
    <s v="Brien Boise"/>
    <x v="0"/>
    <x v="0"/>
    <n v="42"/>
    <n v="150"/>
    <n v="14"/>
    <n v="2174"/>
    <n v="-2132"/>
    <n v="-50.761904761904759"/>
  </r>
  <r>
    <s v="Carla Molina"/>
    <x v="5"/>
    <x v="15"/>
    <n v="98"/>
    <n v="204"/>
    <n v="6"/>
    <n v="1142"/>
    <n v="-1044"/>
    <n v="-10.653061224489797"/>
  </r>
  <r>
    <s v="Brien Boise"/>
    <x v="4"/>
    <x v="3"/>
    <n v="819"/>
    <n v="510"/>
    <n v="9"/>
    <n v="4758"/>
    <n v="-3939"/>
    <n v="-4.8095238095238093"/>
  </r>
  <r>
    <s v="Brien Boise"/>
    <x v="1"/>
    <x v="16"/>
    <n v="357"/>
    <n v="126"/>
    <n v="12"/>
    <n v="1559"/>
    <n v="-1202"/>
    <n v="-3.3669467787114846"/>
  </r>
  <r>
    <s v="Ram Mahesh"/>
    <x v="2"/>
    <x v="11"/>
    <n v="0"/>
    <n v="135"/>
    <n v="7"/>
    <n v="967"/>
    <n v="-967"/>
    <n v="0"/>
  </r>
  <r>
    <s v="Curtice Advani"/>
    <x v="0"/>
    <x v="14"/>
    <n v="3556"/>
    <n v="459"/>
    <n v="10"/>
    <n v="4764"/>
    <n v="-1208"/>
    <n v="-0.33970753655793023"/>
  </r>
  <r>
    <s v="Curtice Advani"/>
    <x v="3"/>
    <x v="0"/>
    <n v="3402"/>
    <n v="366"/>
    <n v="14"/>
    <n v="5303"/>
    <n v="-1901"/>
    <n v="-0.5587889476778366"/>
  </r>
  <r>
    <s v="Ram Mahesh"/>
    <x v="1"/>
    <x v="0"/>
    <n v="2275"/>
    <n v="447"/>
    <n v="14"/>
    <n v="6477"/>
    <n v="-4202"/>
    <n v="-1.847032967032967"/>
  </r>
  <r>
    <s v="Gunar Cockshoot"/>
    <x v="1"/>
    <x v="16"/>
    <n v="819"/>
    <n v="306"/>
    <n v="12"/>
    <n v="3785"/>
    <n v="-2966"/>
    <n v="-3.6214896214896215"/>
  </r>
  <r>
    <s v="Brien Boise"/>
    <x v="0"/>
    <x v="4"/>
    <n v="1890"/>
    <n v="195"/>
    <n v="10"/>
    <n v="1905"/>
    <n v="-15"/>
    <n v="-7.9365079365079361E-3"/>
  </r>
  <r>
    <s v="Ches Bonnell"/>
    <x v="3"/>
    <x v="9"/>
    <n v="1932"/>
    <n v="369"/>
    <n v="12"/>
    <n v="4317"/>
    <n v="-2385"/>
    <n v="-1.234472049689441"/>
  </r>
  <r>
    <s v="Curtice Advani"/>
    <x v="0"/>
    <x v="0"/>
    <n v="560"/>
    <n v="81"/>
    <n v="14"/>
    <n v="1174"/>
    <n v="-614"/>
    <n v="-1.0964285714285715"/>
  </r>
  <r>
    <s v="Carla Molina"/>
    <x v="3"/>
    <x v="6"/>
    <n v="1274"/>
    <n v="225"/>
    <n v="9"/>
    <n v="1978"/>
    <n v="-704"/>
    <n v="-0.55259026687598112"/>
  </r>
  <r>
    <s v="Husein Augar"/>
    <x v="3"/>
    <x v="6"/>
    <n v="938"/>
    <n v="189"/>
    <n v="9"/>
    <n v="1661"/>
    <n v="-723"/>
    <n v="-0.77078891257995741"/>
  </r>
  <r>
    <s v="Carla Molina"/>
    <x v="4"/>
    <x v="2"/>
    <n v="154"/>
    <n v="21"/>
    <n v="13"/>
    <n v="276"/>
    <n v="-122"/>
    <n v="-0.79220779220779225"/>
  </r>
  <r>
    <s v="Ches Bonnell"/>
    <x v="2"/>
    <x v="8"/>
    <n v="966"/>
    <n v="198"/>
    <n v="17"/>
    <n v="3313"/>
    <n v="-2347"/>
    <n v="-2.4296066252587991"/>
  </r>
  <r>
    <s v="Gigi Bohling"/>
    <x v="2"/>
    <x v="17"/>
    <n v="385"/>
    <n v="249"/>
    <n v="6"/>
    <n v="1611"/>
    <n v="-1226"/>
    <n v="-3.1844155844155844"/>
  </r>
  <r>
    <s v="Ches Bonnell"/>
    <x v="5"/>
    <x v="18"/>
    <n v="280"/>
    <n v="87"/>
    <n v="9"/>
    <n v="753"/>
    <n v="-473"/>
    <n v="-1.6892857142857143"/>
  </r>
  <r>
    <s v="Ram Mahesh"/>
    <x v="5"/>
    <x v="8"/>
    <n v="3164"/>
    <n v="306"/>
    <n v="17"/>
    <n v="5119"/>
    <n v="-1955"/>
    <n v="-0.61788874841972186"/>
  </r>
  <r>
    <s v="Curtice Advani"/>
    <x v="1"/>
    <x v="1"/>
    <n v="1302"/>
    <n v="402"/>
    <n v="12"/>
    <n v="4776"/>
    <n v="-3474"/>
    <n v="-2.6682027649769586"/>
  </r>
  <r>
    <s v="Oby Sorrel"/>
    <x v="0"/>
    <x v="10"/>
    <n v="245"/>
    <n v="288"/>
    <n v="9"/>
    <n v="2592"/>
    <n v="-2347"/>
    <n v="-9.5795918367346946"/>
  </r>
  <r>
    <s v="Brien Boise"/>
    <x v="1"/>
    <x v="7"/>
    <n v="2702"/>
    <n v="363"/>
    <n v="11"/>
    <n v="3855"/>
    <n v="-1153"/>
    <n v="-0.42672094744633604"/>
  </r>
  <r>
    <s v="Ram Mahesh"/>
    <x v="5"/>
    <x v="1"/>
    <n v="217"/>
    <n v="36"/>
    <n v="12"/>
    <n v="428"/>
    <n v="-211"/>
    <n v="-0.97235023041474655"/>
  </r>
  <r>
    <s v="Gigi Bohling"/>
    <x v="1"/>
    <x v="4"/>
    <n v="490"/>
    <n v="84"/>
    <n v="10"/>
    <n v="821"/>
    <n v="-331"/>
    <n v="-0.67551020408163265"/>
  </r>
  <r>
    <s v="Brien Boise"/>
    <x v="0"/>
    <x v="10"/>
    <n v="434"/>
    <n v="87"/>
    <n v="9"/>
    <n v="783"/>
    <n v="-349"/>
    <n v="-0.80414746543778803"/>
  </r>
  <r>
    <s v="Carla Molina"/>
    <x v="1"/>
    <x v="13"/>
    <n v="609"/>
    <n v="99"/>
    <n v="8"/>
    <n v="756"/>
    <n v="-147"/>
    <n v="-0.2413793103448276"/>
  </r>
  <r>
    <s v="Curtice Advani"/>
    <x v="1"/>
    <x v="7"/>
    <n v="1071"/>
    <n v="270"/>
    <n v="11"/>
    <n v="2867"/>
    <n v="-1796"/>
    <n v="-1.676937441643324"/>
  </r>
  <r>
    <s v="Gunar Cockshoot"/>
    <x v="0"/>
    <x v="1"/>
    <n v="938"/>
    <n v="366"/>
    <n v="12"/>
    <n v="4348"/>
    <n v="-3410"/>
    <n v="-3.6353944562899785"/>
  </r>
  <r>
    <s v="Carla Molina"/>
    <x v="0"/>
    <x v="5"/>
    <n v="714"/>
    <n v="231"/>
    <n v="12"/>
    <n v="2710"/>
    <n v="-1996"/>
    <n v="-2.79551820728291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1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R3:AS14" firstHeaderRow="1" firstDataRow="1" firstDataCol="1"/>
  <pivotFields count="9">
    <pivotField axis="axisRow" showAll="0">
      <items count="11">
        <item x="7"/>
        <item x="1"/>
        <item x="3"/>
        <item x="5"/>
        <item x="4"/>
        <item x="6"/>
        <item x="8"/>
        <item x="2"/>
        <item x="9"/>
        <item x="0"/>
        <item t="default"/>
      </items>
    </pivotField>
    <pivotField showAll="0">
      <items count="7">
        <item x="4"/>
        <item x="2"/>
        <item x="5"/>
        <item x="0"/>
        <item x="3"/>
        <item x="1"/>
        <item t="default"/>
      </items>
    </pivotField>
    <pivotField showAll="0">
      <items count="23">
        <item x="8"/>
        <item x="0"/>
        <item x="17"/>
        <item x="15"/>
        <item x="7"/>
        <item x="2"/>
        <item x="21"/>
        <item x="19"/>
        <item x="1"/>
        <item x="3"/>
        <item x="9"/>
        <item x="14"/>
        <item x="12"/>
        <item x="11"/>
        <item x="10"/>
        <item x="13"/>
        <item x="18"/>
        <item x="5"/>
        <item x="16"/>
        <item x="6"/>
        <item x="20"/>
        <item x="4"/>
        <item t="default"/>
      </items>
    </pivotField>
    <pivotField numFmtId="6" showAll="0"/>
    <pivotField showAll="0"/>
    <pivotField showAll="0"/>
    <pivotField showAll="0"/>
    <pivotField dataField="1" numFmtId="6" showAll="0"/>
    <pivotField numFmtId="9" showAll="0"/>
  </pivotFields>
  <rowFields count="1">
    <field x="0"/>
  </rowFields>
  <rowItems count="11">
    <i>
      <x/>
    </i>
    <i>
      <x v="1"/>
    </i>
    <i>
      <x v="2"/>
    </i>
    <i>
      <x v="3"/>
    </i>
    <i>
      <x v="4"/>
    </i>
    <i>
      <x v="5"/>
    </i>
    <i>
      <x v="6"/>
    </i>
    <i>
      <x v="7"/>
    </i>
    <i>
      <x v="8"/>
    </i>
    <i>
      <x v="9"/>
    </i>
    <i t="grand">
      <x/>
    </i>
  </rowItems>
  <colItems count="1">
    <i/>
  </colItems>
  <dataFields count="1">
    <dataField name="Sum of Profi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4000000}"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B3:C14" firstHeaderRow="1" firstDataRow="1" firstDataCol="1"/>
  <pivotFields count="9">
    <pivotField showAll="0">
      <items count="11">
        <item x="7"/>
        <item x="1"/>
        <item x="3"/>
        <item x="5"/>
        <item x="4"/>
        <item x="6"/>
        <item x="8"/>
        <item x="2"/>
        <item x="9"/>
        <item x="0"/>
        <item t="default"/>
      </items>
    </pivotField>
    <pivotField showAll="0">
      <items count="7">
        <item x="4"/>
        <item x="2"/>
        <item x="5"/>
        <item x="0"/>
        <item x="3"/>
        <item x="1"/>
        <item t="default"/>
      </items>
    </pivotField>
    <pivotField axis="axisRow" showAll="0" measureFilter="1" sortType="ascending">
      <items count="23">
        <item x="8"/>
        <item x="0"/>
        <item x="17"/>
        <item x="15"/>
        <item x="7"/>
        <item x="2"/>
        <item x="21"/>
        <item x="19"/>
        <item x="1"/>
        <item x="3"/>
        <item x="9"/>
        <item x="14"/>
        <item x="12"/>
        <item x="11"/>
        <item x="10"/>
        <item x="13"/>
        <item x="18"/>
        <item x="5"/>
        <item x="16"/>
        <item x="6"/>
        <item x="20"/>
        <item x="4"/>
        <item t="default"/>
      </items>
    </pivotField>
    <pivotField dataField="1" numFmtId="6" showAll="0"/>
    <pivotField showAll="0"/>
    <pivotField showAll="0"/>
    <pivotField showAll="0"/>
    <pivotField numFmtId="6" showAll="0"/>
    <pivotField numFmtId="9" showAll="0"/>
  </pivotFields>
  <rowFields count="1">
    <field x="2"/>
  </rowFields>
  <rowItems count="11">
    <i>
      <x v="1"/>
    </i>
    <i>
      <x v="4"/>
    </i>
    <i>
      <x v="6"/>
    </i>
    <i>
      <x v="7"/>
    </i>
    <i>
      <x v="8"/>
    </i>
    <i>
      <x v="10"/>
    </i>
    <i>
      <x v="14"/>
    </i>
    <i>
      <x v="16"/>
    </i>
    <i>
      <x v="17"/>
    </i>
    <i>
      <x v="18"/>
    </i>
    <i t="grand">
      <x/>
    </i>
  </rowItems>
  <colItems count="1">
    <i/>
  </colItems>
  <dataFields count="1">
    <dataField name="Sum of Amount" fld="3"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7000000}" name="PivotTable6"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T3:AA15" firstHeaderRow="1" firstDataRow="2" firstDataCol="1"/>
  <pivotFields count="9">
    <pivotField showAll="0"/>
    <pivotField axis="axisCol" showAll="0">
      <items count="7">
        <item x="4"/>
        <item x="5"/>
        <item x="3"/>
        <item x="0"/>
        <item x="2"/>
        <item x="1"/>
        <item t="default"/>
      </items>
    </pivotField>
    <pivotField axis="axisRow" showAll="0" measureFilter="1">
      <items count="20">
        <item x="9"/>
        <item x="0"/>
        <item x="13"/>
        <item x="4"/>
        <item x="1"/>
        <item x="15"/>
        <item x="14"/>
        <item x="18"/>
        <item x="17"/>
        <item x="11"/>
        <item x="3"/>
        <item x="6"/>
        <item x="7"/>
        <item x="8"/>
        <item x="16"/>
        <item x="5"/>
        <item x="12"/>
        <item x="10"/>
        <item x="2"/>
        <item t="default"/>
      </items>
    </pivotField>
    <pivotField numFmtId="6" showAll="0"/>
    <pivotField showAll="0"/>
    <pivotField showAll="0"/>
    <pivotField showAll="0"/>
    <pivotField dataField="1" numFmtId="6" showAll="0"/>
    <pivotField numFmtId="9" showAll="0"/>
  </pivotFields>
  <rowFields count="1">
    <field x="2"/>
  </rowFields>
  <rowItems count="11">
    <i>
      <x/>
    </i>
    <i>
      <x v="2"/>
    </i>
    <i>
      <x v="3"/>
    </i>
    <i>
      <x v="5"/>
    </i>
    <i>
      <x v="7"/>
    </i>
    <i>
      <x v="8"/>
    </i>
    <i>
      <x v="9"/>
    </i>
    <i>
      <x v="12"/>
    </i>
    <i>
      <x v="15"/>
    </i>
    <i>
      <x v="16"/>
    </i>
    <i t="grand">
      <x/>
    </i>
  </rowItems>
  <colFields count="1">
    <field x="1"/>
  </colFields>
  <colItems count="7">
    <i>
      <x/>
    </i>
    <i>
      <x v="1"/>
    </i>
    <i>
      <x v="2"/>
    </i>
    <i>
      <x v="3"/>
    </i>
    <i>
      <x v="4"/>
    </i>
    <i>
      <x v="5"/>
    </i>
    <i t="grand">
      <x/>
    </i>
  </colItems>
  <dataFields count="1">
    <dataField name="Sum of Loss" fld="7" baseField="0" baseItem="0"/>
  </dataField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9000000}" name="PivotTable8"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F3:AG26" firstHeaderRow="1" firstDataRow="1" firstDataCol="1"/>
  <pivotFields count="9">
    <pivotField showAll="0">
      <items count="11">
        <item x="7"/>
        <item x="1"/>
        <item x="3"/>
        <item x="5"/>
        <item x="4"/>
        <item x="6"/>
        <item x="8"/>
        <item x="2"/>
        <item x="9"/>
        <item x="0"/>
        <item t="default"/>
      </items>
    </pivotField>
    <pivotField showAll="0">
      <items count="7">
        <item x="4"/>
        <item x="2"/>
        <item x="5"/>
        <item x="0"/>
        <item x="3"/>
        <item x="1"/>
        <item t="default"/>
      </items>
    </pivotField>
    <pivotField axis="axisRow" showAll="0" sortType="ascending">
      <items count="23">
        <item x="8"/>
        <item x="0"/>
        <item x="17"/>
        <item x="15"/>
        <item x="7"/>
        <item x="2"/>
        <item x="21"/>
        <item x="19"/>
        <item x="1"/>
        <item x="3"/>
        <item x="9"/>
        <item x="14"/>
        <item x="12"/>
        <item x="11"/>
        <item x="10"/>
        <item x="13"/>
        <item x="18"/>
        <item x="5"/>
        <item x="16"/>
        <item x="6"/>
        <item x="20"/>
        <item x="4"/>
        <item t="default"/>
      </items>
      <autoSortScope>
        <pivotArea dataOnly="0" outline="0" fieldPosition="0">
          <references count="1">
            <reference field="4294967294" count="1" selected="0">
              <x v="0"/>
            </reference>
          </references>
        </pivotArea>
      </autoSortScope>
    </pivotField>
    <pivotField dataField="1" numFmtId="6" showAll="0"/>
    <pivotField showAll="0"/>
    <pivotField showAll="0"/>
    <pivotField showAll="0"/>
    <pivotField numFmtId="6" showAll="0"/>
    <pivotField numFmtId="9" showAll="0"/>
  </pivotFields>
  <rowFields count="1">
    <field x="2"/>
  </rowFields>
  <rowItems count="23">
    <i>
      <x v="5"/>
    </i>
    <i>
      <x v="2"/>
    </i>
    <i>
      <x v="20"/>
    </i>
    <i>
      <x v="19"/>
    </i>
    <i>
      <x/>
    </i>
    <i>
      <x v="3"/>
    </i>
    <i>
      <x v="13"/>
    </i>
    <i>
      <x v="9"/>
    </i>
    <i>
      <x v="15"/>
    </i>
    <i>
      <x v="11"/>
    </i>
    <i>
      <x v="21"/>
    </i>
    <i>
      <x v="12"/>
    </i>
    <i>
      <x v="14"/>
    </i>
    <i>
      <x v="10"/>
    </i>
    <i>
      <x v="4"/>
    </i>
    <i>
      <x v="1"/>
    </i>
    <i>
      <x v="18"/>
    </i>
    <i>
      <x v="17"/>
    </i>
    <i>
      <x v="16"/>
    </i>
    <i>
      <x v="6"/>
    </i>
    <i>
      <x v="8"/>
    </i>
    <i>
      <x v="7"/>
    </i>
    <i t="grand">
      <x/>
    </i>
  </rowItems>
  <colItems count="1">
    <i/>
  </colItems>
  <dataFields count="1">
    <dataField name="Sum of Amount"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100-000006000000}" name="PivotTable5"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2">
  <location ref="J3:Q10" firstHeaderRow="1" firstDataRow="2" firstDataCol="1"/>
  <pivotFields count="9">
    <pivotField showAll="0"/>
    <pivotField axis="axisCol" showAll="0">
      <items count="7">
        <item x="2"/>
        <item x="1"/>
        <item x="4"/>
        <item x="3"/>
        <item x="5"/>
        <item x="0"/>
        <item t="default"/>
      </items>
    </pivotField>
    <pivotField axis="axisRow" showAll="0" measureFilter="1">
      <items count="23">
        <item x="5"/>
        <item x="14"/>
        <item x="13"/>
        <item x="11"/>
        <item x="4"/>
        <item x="21"/>
        <item x="19"/>
        <item x="15"/>
        <item x="0"/>
        <item x="1"/>
        <item x="6"/>
        <item x="10"/>
        <item x="8"/>
        <item x="12"/>
        <item x="7"/>
        <item x="9"/>
        <item x="16"/>
        <item x="2"/>
        <item x="17"/>
        <item x="3"/>
        <item x="20"/>
        <item x="18"/>
        <item t="default"/>
      </items>
    </pivotField>
    <pivotField numFmtId="6" showAll="0"/>
    <pivotField showAll="0"/>
    <pivotField showAll="0"/>
    <pivotField showAll="0"/>
    <pivotField dataField="1" numFmtId="6" showAll="0"/>
    <pivotField numFmtId="9" showAll="0"/>
  </pivotFields>
  <rowFields count="1">
    <field x="2"/>
  </rowFields>
  <rowItems count="6">
    <i>
      <x v="6"/>
    </i>
    <i>
      <x v="8"/>
    </i>
    <i>
      <x v="10"/>
    </i>
    <i>
      <x v="17"/>
    </i>
    <i>
      <x v="18"/>
    </i>
    <i t="grand">
      <x/>
    </i>
  </rowItems>
  <colFields count="1">
    <field x="1"/>
  </colFields>
  <colItems count="7">
    <i>
      <x/>
    </i>
    <i>
      <x v="1"/>
    </i>
    <i>
      <x v="2"/>
    </i>
    <i>
      <x v="3"/>
    </i>
    <i>
      <x v="4"/>
    </i>
    <i>
      <x v="5"/>
    </i>
    <i t="grand">
      <x/>
    </i>
  </colItems>
  <dataFields count="1">
    <dataField name="Sum of Profit" fld="7" baseField="0" baseItem="0"/>
  </dataFields>
  <chartFormats count="6">
    <chartFormat chart="10" format="12" series="1">
      <pivotArea type="data" outline="0" fieldPosition="0">
        <references count="2">
          <reference field="4294967294" count="1" selected="0">
            <x v="0"/>
          </reference>
          <reference field="1" count="1" selected="0">
            <x v="0"/>
          </reference>
        </references>
      </pivotArea>
    </chartFormat>
    <chartFormat chart="10" format="13" series="1">
      <pivotArea type="data" outline="0" fieldPosition="0">
        <references count="2">
          <reference field="4294967294" count="1" selected="0">
            <x v="0"/>
          </reference>
          <reference field="1" count="1" selected="0">
            <x v="1"/>
          </reference>
        </references>
      </pivotArea>
    </chartFormat>
    <chartFormat chart="10" format="14" series="1">
      <pivotArea type="data" outline="0" fieldPosition="0">
        <references count="2">
          <reference field="4294967294" count="1" selected="0">
            <x v="0"/>
          </reference>
          <reference field="1" count="1" selected="0">
            <x v="2"/>
          </reference>
        </references>
      </pivotArea>
    </chartFormat>
    <chartFormat chart="10" format="15" series="1">
      <pivotArea type="data" outline="0" fieldPosition="0">
        <references count="2">
          <reference field="4294967294" count="1" selected="0">
            <x v="0"/>
          </reference>
          <reference field="1" count="1" selected="0">
            <x v="3"/>
          </reference>
        </references>
      </pivotArea>
    </chartFormat>
    <chartFormat chart="10" format="16" series="1">
      <pivotArea type="data" outline="0" fieldPosition="0">
        <references count="2">
          <reference field="4294967294" count="1" selected="0">
            <x v="0"/>
          </reference>
          <reference field="1" count="1" selected="0">
            <x v="4"/>
          </reference>
        </references>
      </pivotArea>
    </chartFormat>
    <chartFormat chart="10" format="17" series="1">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filters count="1">
    <filter fld="2"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0"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N3:AO10" firstHeaderRow="1" firstDataRow="1" firstDataCol="1"/>
  <pivotFields count="9">
    <pivotField showAll="0">
      <items count="11">
        <item x="7"/>
        <item x="1"/>
        <item x="3"/>
        <item x="5"/>
        <item x="4"/>
        <item x="6"/>
        <item x="8"/>
        <item x="2"/>
        <item x="9"/>
        <item x="0"/>
        <item t="default"/>
      </items>
    </pivotField>
    <pivotField axis="axisRow" showAll="0">
      <items count="7">
        <item x="4"/>
        <item x="2"/>
        <item x="5"/>
        <item x="0"/>
        <item x="3"/>
        <item x="1"/>
        <item t="default"/>
      </items>
    </pivotField>
    <pivotField showAll="0">
      <items count="23">
        <item x="8"/>
        <item x="0"/>
        <item x="17"/>
        <item x="15"/>
        <item x="7"/>
        <item x="2"/>
        <item x="21"/>
        <item x="19"/>
        <item x="1"/>
        <item x="3"/>
        <item x="9"/>
        <item x="14"/>
        <item x="12"/>
        <item x="11"/>
        <item x="10"/>
        <item x="13"/>
        <item x="18"/>
        <item x="5"/>
        <item x="16"/>
        <item x="6"/>
        <item x="20"/>
        <item x="4"/>
        <item t="default"/>
      </items>
    </pivotField>
    <pivotField numFmtId="6" showAll="0"/>
    <pivotField showAll="0"/>
    <pivotField showAll="0"/>
    <pivotField dataField="1" showAll="0"/>
    <pivotField numFmtId="6" showAll="0"/>
    <pivotField numFmtId="9" showAll="0"/>
  </pivotFields>
  <rowFields count="1">
    <field x="1"/>
  </rowFields>
  <rowItems count="7">
    <i>
      <x/>
    </i>
    <i>
      <x v="1"/>
    </i>
    <i>
      <x v="2"/>
    </i>
    <i>
      <x v="3"/>
    </i>
    <i>
      <x v="4"/>
    </i>
    <i>
      <x v="5"/>
    </i>
    <i t="grand">
      <x/>
    </i>
  </rowItems>
  <colItems count="1">
    <i/>
  </colItems>
  <dataFields count="1">
    <dataField name="Sum of Cos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PivotTable15"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BF3:BG14" firstHeaderRow="1" firstDataRow="1" firstDataCol="1"/>
  <pivotFields count="9">
    <pivotField axis="axisRow" showAll="0">
      <items count="11">
        <item x="7"/>
        <item x="1"/>
        <item x="3"/>
        <item x="5"/>
        <item x="4"/>
        <item x="6"/>
        <item x="8"/>
        <item x="2"/>
        <item x="9"/>
        <item x="0"/>
        <item t="default"/>
      </items>
    </pivotField>
    <pivotField showAll="0">
      <items count="7">
        <item x="4"/>
        <item x="2"/>
        <item x="5"/>
        <item x="0"/>
        <item x="3"/>
        <item x="1"/>
        <item t="default"/>
      </items>
    </pivotField>
    <pivotField showAll="0">
      <items count="23">
        <item x="8"/>
        <item x="0"/>
        <item x="17"/>
        <item x="15"/>
        <item x="7"/>
        <item x="2"/>
        <item x="21"/>
        <item x="19"/>
        <item x="1"/>
        <item x="3"/>
        <item x="9"/>
        <item x="14"/>
        <item x="12"/>
        <item x="11"/>
        <item x="10"/>
        <item x="13"/>
        <item x="18"/>
        <item x="5"/>
        <item x="16"/>
        <item x="6"/>
        <item x="20"/>
        <item x="4"/>
        <item t="default"/>
      </items>
    </pivotField>
    <pivotField numFmtId="6" showAll="0"/>
    <pivotField dataField="1" showAll="0"/>
    <pivotField showAll="0"/>
    <pivotField showAll="0"/>
    <pivotField numFmtId="6" showAll="0"/>
    <pivotField numFmtId="9" showAll="0"/>
  </pivotFields>
  <rowFields count="1">
    <field x="0"/>
  </rowFields>
  <rowItems count="11">
    <i>
      <x/>
    </i>
    <i>
      <x v="1"/>
    </i>
    <i>
      <x v="2"/>
    </i>
    <i>
      <x v="3"/>
    </i>
    <i>
      <x v="4"/>
    </i>
    <i>
      <x v="5"/>
    </i>
    <i>
      <x v="6"/>
    </i>
    <i>
      <x v="7"/>
    </i>
    <i>
      <x v="8"/>
    </i>
    <i>
      <x v="9"/>
    </i>
    <i t="grand">
      <x/>
    </i>
  </rowItems>
  <colItems count="1">
    <i/>
  </colItems>
  <dataFields count="1">
    <dataField name="Sum of Unit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100-000005000000}"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F3:G10" firstHeaderRow="1" firstDataRow="1" firstDataCol="1"/>
  <pivotFields count="9">
    <pivotField showAll="0">
      <items count="11">
        <item x="7"/>
        <item x="1"/>
        <item x="3"/>
        <item x="5"/>
        <item x="4"/>
        <item x="6"/>
        <item x="8"/>
        <item x="2"/>
        <item x="9"/>
        <item x="0"/>
        <item t="default"/>
      </items>
    </pivotField>
    <pivotField axis="axisRow" showAll="0">
      <items count="7">
        <item x="4"/>
        <item x="2"/>
        <item x="5"/>
        <item x="0"/>
        <item x="3"/>
        <item x="1"/>
        <item t="default"/>
      </items>
    </pivotField>
    <pivotField showAll="0">
      <items count="23">
        <item x="8"/>
        <item x="0"/>
        <item x="17"/>
        <item x="15"/>
        <item x="7"/>
        <item x="2"/>
        <item x="21"/>
        <item x="19"/>
        <item x="1"/>
        <item x="3"/>
        <item x="9"/>
        <item x="14"/>
        <item x="12"/>
        <item x="11"/>
        <item x="10"/>
        <item x="13"/>
        <item x="18"/>
        <item x="5"/>
        <item x="16"/>
        <item x="6"/>
        <item x="20"/>
        <item x="4"/>
        <item t="default"/>
      </items>
    </pivotField>
    <pivotField dataField="1" numFmtId="6" showAll="0"/>
    <pivotField showAll="0"/>
    <pivotField showAll="0"/>
    <pivotField showAll="0"/>
    <pivotField numFmtId="6" showAll="0"/>
    <pivotField numFmtId="9" showAll="0"/>
  </pivotFields>
  <rowFields count="1">
    <field x="1"/>
  </rowFields>
  <rowItems count="7">
    <i>
      <x/>
    </i>
    <i>
      <x v="1"/>
    </i>
    <i>
      <x v="2"/>
    </i>
    <i>
      <x v="3"/>
    </i>
    <i>
      <x v="4"/>
    </i>
    <i>
      <x v="5"/>
    </i>
    <i t="grand">
      <x/>
    </i>
  </rowItems>
  <colItems count="1">
    <i/>
  </colItems>
  <dataFields count="1">
    <dataField name="Sum of Amount" fld="3"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12"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AV3:BC15" firstHeaderRow="1" firstDataRow="2" firstDataCol="1"/>
  <pivotFields count="9">
    <pivotField showAll="0"/>
    <pivotField axis="axisCol" showAll="0">
      <items count="7">
        <item x="2"/>
        <item x="1"/>
        <item x="4"/>
        <item x="3"/>
        <item x="5"/>
        <item x="0"/>
        <item t="default"/>
      </items>
    </pivotField>
    <pivotField axis="axisRow" showAll="0" measureFilter="1">
      <items count="23">
        <item x="5"/>
        <item x="14"/>
        <item x="13"/>
        <item x="11"/>
        <item x="4"/>
        <item x="21"/>
        <item x="19"/>
        <item x="15"/>
        <item x="0"/>
        <item x="1"/>
        <item x="6"/>
        <item x="10"/>
        <item x="8"/>
        <item x="12"/>
        <item x="7"/>
        <item x="9"/>
        <item x="16"/>
        <item x="2"/>
        <item x="17"/>
        <item x="3"/>
        <item x="20"/>
        <item x="18"/>
        <item t="default"/>
      </items>
    </pivotField>
    <pivotField numFmtId="6" showAll="0"/>
    <pivotField showAll="0"/>
    <pivotField showAll="0"/>
    <pivotField showAll="0"/>
    <pivotField numFmtId="6" showAll="0"/>
    <pivotField dataField="1" numFmtId="9" showAll="0"/>
  </pivotFields>
  <rowFields count="1">
    <field x="2"/>
  </rowFields>
  <rowItems count="11">
    <i>
      <x v="2"/>
    </i>
    <i>
      <x v="4"/>
    </i>
    <i>
      <x v="6"/>
    </i>
    <i>
      <x v="8"/>
    </i>
    <i>
      <x v="10"/>
    </i>
    <i>
      <x v="11"/>
    </i>
    <i>
      <x v="12"/>
    </i>
    <i>
      <x v="14"/>
    </i>
    <i>
      <x v="18"/>
    </i>
    <i>
      <x v="21"/>
    </i>
    <i t="grand">
      <x/>
    </i>
  </rowItems>
  <colFields count="1">
    <field x="1"/>
  </colFields>
  <colItems count="7">
    <i>
      <x/>
    </i>
    <i>
      <x v="1"/>
    </i>
    <i>
      <x v="2"/>
    </i>
    <i>
      <x v="3"/>
    </i>
    <i>
      <x v="4"/>
    </i>
    <i>
      <x v="5"/>
    </i>
    <i t="grand">
      <x/>
    </i>
  </colItems>
  <dataFields count="1">
    <dataField name="Sum of profit %" fld="8" baseField="0" baseItem="0" numFmtId="2"/>
  </dataFields>
  <formats count="1">
    <format dxfId="0">
      <pivotArea outline="0" collapsedLevelsAreSubtotals="1" fieldPosition="0"/>
    </format>
  </formats>
  <chartFormats count="138">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series="1">
      <pivotArea type="data" outline="0" fieldPosition="0">
        <references count="2">
          <reference field="4294967294" count="1" selected="0">
            <x v="0"/>
          </reference>
          <reference field="1" count="1" selected="0">
            <x v="5"/>
          </reference>
        </references>
      </pivotArea>
    </chartFormat>
    <chartFormat chart="3" format="6" series="1">
      <pivotArea type="data" outline="0" fieldPosition="0">
        <references count="2">
          <reference field="4294967294" count="1" selected="0">
            <x v="0"/>
          </reference>
          <reference field="1" count="1" selected="0">
            <x v="0"/>
          </reference>
        </references>
      </pivotArea>
    </chartFormat>
    <chartFormat chart="3" format="7">
      <pivotArea type="data" outline="0" fieldPosition="0">
        <references count="3">
          <reference field="4294967294" count="1" selected="0">
            <x v="0"/>
          </reference>
          <reference field="1" count="1" selected="0">
            <x v="0"/>
          </reference>
          <reference field="2" count="1" selected="0">
            <x v="2"/>
          </reference>
        </references>
      </pivotArea>
    </chartFormat>
    <chartFormat chart="3" format="8">
      <pivotArea type="data" outline="0" fieldPosition="0">
        <references count="3">
          <reference field="4294967294" count="1" selected="0">
            <x v="0"/>
          </reference>
          <reference field="1" count="1" selected="0">
            <x v="0"/>
          </reference>
          <reference field="2" count="1" selected="0">
            <x v="4"/>
          </reference>
        </references>
      </pivotArea>
    </chartFormat>
    <chartFormat chart="3" format="9">
      <pivotArea type="data" outline="0" fieldPosition="0">
        <references count="3">
          <reference field="4294967294" count="1" selected="0">
            <x v="0"/>
          </reference>
          <reference field="1" count="1" selected="0">
            <x v="0"/>
          </reference>
          <reference field="2" count="1" selected="0">
            <x v="6"/>
          </reference>
        </references>
      </pivotArea>
    </chartFormat>
    <chartFormat chart="3" format="10">
      <pivotArea type="data" outline="0" fieldPosition="0">
        <references count="3">
          <reference field="4294967294" count="1" selected="0">
            <x v="0"/>
          </reference>
          <reference field="1" count="1" selected="0">
            <x v="0"/>
          </reference>
          <reference field="2" count="1" selected="0">
            <x v="8"/>
          </reference>
        </references>
      </pivotArea>
    </chartFormat>
    <chartFormat chart="3" format="11">
      <pivotArea type="data" outline="0" fieldPosition="0">
        <references count="3">
          <reference field="4294967294" count="1" selected="0">
            <x v="0"/>
          </reference>
          <reference field="1" count="1" selected="0">
            <x v="0"/>
          </reference>
          <reference field="2" count="1" selected="0">
            <x v="10"/>
          </reference>
        </references>
      </pivotArea>
    </chartFormat>
    <chartFormat chart="3" format="12">
      <pivotArea type="data" outline="0" fieldPosition="0">
        <references count="3">
          <reference field="4294967294" count="1" selected="0">
            <x v="0"/>
          </reference>
          <reference field="1" count="1" selected="0">
            <x v="0"/>
          </reference>
          <reference field="2" count="1" selected="0">
            <x v="11"/>
          </reference>
        </references>
      </pivotArea>
    </chartFormat>
    <chartFormat chart="3" format="13">
      <pivotArea type="data" outline="0" fieldPosition="0">
        <references count="3">
          <reference field="4294967294" count="1" selected="0">
            <x v="0"/>
          </reference>
          <reference field="1" count="1" selected="0">
            <x v="0"/>
          </reference>
          <reference field="2" count="1" selected="0">
            <x v="12"/>
          </reference>
        </references>
      </pivotArea>
    </chartFormat>
    <chartFormat chart="3" format="14">
      <pivotArea type="data" outline="0" fieldPosition="0">
        <references count="3">
          <reference field="4294967294" count="1" selected="0">
            <x v="0"/>
          </reference>
          <reference field="1" count="1" selected="0">
            <x v="0"/>
          </reference>
          <reference field="2" count="1" selected="0">
            <x v="14"/>
          </reference>
        </references>
      </pivotArea>
    </chartFormat>
    <chartFormat chart="3" format="15">
      <pivotArea type="data" outline="0" fieldPosition="0">
        <references count="3">
          <reference field="4294967294" count="1" selected="0">
            <x v="0"/>
          </reference>
          <reference field="1" count="1" selected="0">
            <x v="0"/>
          </reference>
          <reference field="2" count="1" selected="0">
            <x v="18"/>
          </reference>
        </references>
      </pivotArea>
    </chartFormat>
    <chartFormat chart="3" format="16">
      <pivotArea type="data" outline="0" fieldPosition="0">
        <references count="3">
          <reference field="4294967294" count="1" selected="0">
            <x v="0"/>
          </reference>
          <reference field="1" count="1" selected="0">
            <x v="0"/>
          </reference>
          <reference field="2" count="1" selected="0">
            <x v="21"/>
          </reference>
        </references>
      </pivotArea>
    </chartFormat>
    <chartFormat chart="3" format="17" series="1">
      <pivotArea type="data" outline="0" fieldPosition="0">
        <references count="2">
          <reference field="4294967294" count="1" selected="0">
            <x v="0"/>
          </reference>
          <reference field="1" count="1" selected="0">
            <x v="1"/>
          </reference>
        </references>
      </pivotArea>
    </chartFormat>
    <chartFormat chart="3" format="18">
      <pivotArea type="data" outline="0" fieldPosition="0">
        <references count="3">
          <reference field="4294967294" count="1" selected="0">
            <x v="0"/>
          </reference>
          <reference field="1" count="1" selected="0">
            <x v="1"/>
          </reference>
          <reference field="2" count="1" selected="0">
            <x v="2"/>
          </reference>
        </references>
      </pivotArea>
    </chartFormat>
    <chartFormat chart="3" format="19">
      <pivotArea type="data" outline="0" fieldPosition="0">
        <references count="3">
          <reference field="4294967294" count="1" selected="0">
            <x v="0"/>
          </reference>
          <reference field="1" count="1" selected="0">
            <x v="1"/>
          </reference>
          <reference field="2" count="1" selected="0">
            <x v="4"/>
          </reference>
        </references>
      </pivotArea>
    </chartFormat>
    <chartFormat chart="3" format="20">
      <pivotArea type="data" outline="0" fieldPosition="0">
        <references count="3">
          <reference field="4294967294" count="1" selected="0">
            <x v="0"/>
          </reference>
          <reference field="1" count="1" selected="0">
            <x v="1"/>
          </reference>
          <reference field="2" count="1" selected="0">
            <x v="6"/>
          </reference>
        </references>
      </pivotArea>
    </chartFormat>
    <chartFormat chart="3" format="21">
      <pivotArea type="data" outline="0" fieldPosition="0">
        <references count="3">
          <reference field="4294967294" count="1" selected="0">
            <x v="0"/>
          </reference>
          <reference field="1" count="1" selected="0">
            <x v="1"/>
          </reference>
          <reference field="2" count="1" selected="0">
            <x v="8"/>
          </reference>
        </references>
      </pivotArea>
    </chartFormat>
    <chartFormat chart="3" format="22">
      <pivotArea type="data" outline="0" fieldPosition="0">
        <references count="3">
          <reference field="4294967294" count="1" selected="0">
            <x v="0"/>
          </reference>
          <reference field="1" count="1" selected="0">
            <x v="1"/>
          </reference>
          <reference field="2" count="1" selected="0">
            <x v="10"/>
          </reference>
        </references>
      </pivotArea>
    </chartFormat>
    <chartFormat chart="3" format="23">
      <pivotArea type="data" outline="0" fieldPosition="0">
        <references count="3">
          <reference field="4294967294" count="1" selected="0">
            <x v="0"/>
          </reference>
          <reference field="1" count="1" selected="0">
            <x v="1"/>
          </reference>
          <reference field="2" count="1" selected="0">
            <x v="11"/>
          </reference>
        </references>
      </pivotArea>
    </chartFormat>
    <chartFormat chart="3" format="24">
      <pivotArea type="data" outline="0" fieldPosition="0">
        <references count="3">
          <reference field="4294967294" count="1" selected="0">
            <x v="0"/>
          </reference>
          <reference field="1" count="1" selected="0">
            <x v="1"/>
          </reference>
          <reference field="2" count="1" selected="0">
            <x v="12"/>
          </reference>
        </references>
      </pivotArea>
    </chartFormat>
    <chartFormat chart="3" format="25">
      <pivotArea type="data" outline="0" fieldPosition="0">
        <references count="3">
          <reference field="4294967294" count="1" selected="0">
            <x v="0"/>
          </reference>
          <reference field="1" count="1" selected="0">
            <x v="1"/>
          </reference>
          <reference field="2" count="1" selected="0">
            <x v="14"/>
          </reference>
        </references>
      </pivotArea>
    </chartFormat>
    <chartFormat chart="3" format="26">
      <pivotArea type="data" outline="0" fieldPosition="0">
        <references count="3">
          <reference field="4294967294" count="1" selected="0">
            <x v="0"/>
          </reference>
          <reference field="1" count="1" selected="0">
            <x v="1"/>
          </reference>
          <reference field="2" count="1" selected="0">
            <x v="18"/>
          </reference>
        </references>
      </pivotArea>
    </chartFormat>
    <chartFormat chart="3" format="27">
      <pivotArea type="data" outline="0" fieldPosition="0">
        <references count="3">
          <reference field="4294967294" count="1" selected="0">
            <x v="0"/>
          </reference>
          <reference field="1" count="1" selected="0">
            <x v="1"/>
          </reference>
          <reference field="2" count="1" selected="0">
            <x v="21"/>
          </reference>
        </references>
      </pivotArea>
    </chartFormat>
    <chartFormat chart="3" format="28" series="1">
      <pivotArea type="data" outline="0" fieldPosition="0">
        <references count="2">
          <reference field="4294967294" count="1" selected="0">
            <x v="0"/>
          </reference>
          <reference field="1" count="1" selected="0">
            <x v="2"/>
          </reference>
        </references>
      </pivotArea>
    </chartFormat>
    <chartFormat chart="3" format="29">
      <pivotArea type="data" outline="0" fieldPosition="0">
        <references count="3">
          <reference field="4294967294" count="1" selected="0">
            <x v="0"/>
          </reference>
          <reference field="1" count="1" selected="0">
            <x v="2"/>
          </reference>
          <reference field="2" count="1" selected="0">
            <x v="2"/>
          </reference>
        </references>
      </pivotArea>
    </chartFormat>
    <chartFormat chart="3" format="30">
      <pivotArea type="data" outline="0" fieldPosition="0">
        <references count="3">
          <reference field="4294967294" count="1" selected="0">
            <x v="0"/>
          </reference>
          <reference field="1" count="1" selected="0">
            <x v="2"/>
          </reference>
          <reference field="2" count="1" selected="0">
            <x v="4"/>
          </reference>
        </references>
      </pivotArea>
    </chartFormat>
    <chartFormat chart="3" format="31">
      <pivotArea type="data" outline="0" fieldPosition="0">
        <references count="3">
          <reference field="4294967294" count="1" selected="0">
            <x v="0"/>
          </reference>
          <reference field="1" count="1" selected="0">
            <x v="2"/>
          </reference>
          <reference field="2" count="1" selected="0">
            <x v="6"/>
          </reference>
        </references>
      </pivotArea>
    </chartFormat>
    <chartFormat chart="3" format="32">
      <pivotArea type="data" outline="0" fieldPosition="0">
        <references count="3">
          <reference field="4294967294" count="1" selected="0">
            <x v="0"/>
          </reference>
          <reference field="1" count="1" selected="0">
            <x v="2"/>
          </reference>
          <reference field="2" count="1" selected="0">
            <x v="8"/>
          </reference>
        </references>
      </pivotArea>
    </chartFormat>
    <chartFormat chart="3" format="33">
      <pivotArea type="data" outline="0" fieldPosition="0">
        <references count="3">
          <reference field="4294967294" count="1" selected="0">
            <x v="0"/>
          </reference>
          <reference field="1" count="1" selected="0">
            <x v="2"/>
          </reference>
          <reference field="2" count="1" selected="0">
            <x v="10"/>
          </reference>
        </references>
      </pivotArea>
    </chartFormat>
    <chartFormat chart="3" format="34">
      <pivotArea type="data" outline="0" fieldPosition="0">
        <references count="3">
          <reference field="4294967294" count="1" selected="0">
            <x v="0"/>
          </reference>
          <reference field="1" count="1" selected="0">
            <x v="2"/>
          </reference>
          <reference field="2" count="1" selected="0">
            <x v="11"/>
          </reference>
        </references>
      </pivotArea>
    </chartFormat>
    <chartFormat chart="3" format="35">
      <pivotArea type="data" outline="0" fieldPosition="0">
        <references count="3">
          <reference field="4294967294" count="1" selected="0">
            <x v="0"/>
          </reference>
          <reference field="1" count="1" selected="0">
            <x v="2"/>
          </reference>
          <reference field="2" count="1" selected="0">
            <x v="12"/>
          </reference>
        </references>
      </pivotArea>
    </chartFormat>
    <chartFormat chart="3" format="36">
      <pivotArea type="data" outline="0" fieldPosition="0">
        <references count="3">
          <reference field="4294967294" count="1" selected="0">
            <x v="0"/>
          </reference>
          <reference field="1" count="1" selected="0">
            <x v="2"/>
          </reference>
          <reference field="2" count="1" selected="0">
            <x v="14"/>
          </reference>
        </references>
      </pivotArea>
    </chartFormat>
    <chartFormat chart="3" format="37">
      <pivotArea type="data" outline="0" fieldPosition="0">
        <references count="3">
          <reference field="4294967294" count="1" selected="0">
            <x v="0"/>
          </reference>
          <reference field="1" count="1" selected="0">
            <x v="2"/>
          </reference>
          <reference field="2" count="1" selected="0">
            <x v="18"/>
          </reference>
        </references>
      </pivotArea>
    </chartFormat>
    <chartFormat chart="3" format="38">
      <pivotArea type="data" outline="0" fieldPosition="0">
        <references count="3">
          <reference field="4294967294" count="1" selected="0">
            <x v="0"/>
          </reference>
          <reference field="1" count="1" selected="0">
            <x v="2"/>
          </reference>
          <reference field="2" count="1" selected="0">
            <x v="21"/>
          </reference>
        </references>
      </pivotArea>
    </chartFormat>
    <chartFormat chart="3" format="39" series="1">
      <pivotArea type="data" outline="0" fieldPosition="0">
        <references count="2">
          <reference field="4294967294" count="1" selected="0">
            <x v="0"/>
          </reference>
          <reference field="1" count="1" selected="0">
            <x v="3"/>
          </reference>
        </references>
      </pivotArea>
    </chartFormat>
    <chartFormat chart="3" format="40">
      <pivotArea type="data" outline="0" fieldPosition="0">
        <references count="3">
          <reference field="4294967294" count="1" selected="0">
            <x v="0"/>
          </reference>
          <reference field="1" count="1" selected="0">
            <x v="3"/>
          </reference>
          <reference field="2" count="1" selected="0">
            <x v="2"/>
          </reference>
        </references>
      </pivotArea>
    </chartFormat>
    <chartFormat chart="3" format="41">
      <pivotArea type="data" outline="0" fieldPosition="0">
        <references count="3">
          <reference field="4294967294" count="1" selected="0">
            <x v="0"/>
          </reference>
          <reference field="1" count="1" selected="0">
            <x v="3"/>
          </reference>
          <reference field="2" count="1" selected="0">
            <x v="4"/>
          </reference>
        </references>
      </pivotArea>
    </chartFormat>
    <chartFormat chart="3" format="42">
      <pivotArea type="data" outline="0" fieldPosition="0">
        <references count="3">
          <reference field="4294967294" count="1" selected="0">
            <x v="0"/>
          </reference>
          <reference field="1" count="1" selected="0">
            <x v="3"/>
          </reference>
          <reference field="2" count="1" selected="0">
            <x v="6"/>
          </reference>
        </references>
      </pivotArea>
    </chartFormat>
    <chartFormat chart="3" format="43">
      <pivotArea type="data" outline="0" fieldPosition="0">
        <references count="3">
          <reference field="4294967294" count="1" selected="0">
            <x v="0"/>
          </reference>
          <reference field="1" count="1" selected="0">
            <x v="3"/>
          </reference>
          <reference field="2" count="1" selected="0">
            <x v="8"/>
          </reference>
        </references>
      </pivotArea>
    </chartFormat>
    <chartFormat chart="3" format="44">
      <pivotArea type="data" outline="0" fieldPosition="0">
        <references count="3">
          <reference field="4294967294" count="1" selected="0">
            <x v="0"/>
          </reference>
          <reference field="1" count="1" selected="0">
            <x v="3"/>
          </reference>
          <reference field="2" count="1" selected="0">
            <x v="10"/>
          </reference>
        </references>
      </pivotArea>
    </chartFormat>
    <chartFormat chart="3" format="45">
      <pivotArea type="data" outline="0" fieldPosition="0">
        <references count="3">
          <reference field="4294967294" count="1" selected="0">
            <x v="0"/>
          </reference>
          <reference field="1" count="1" selected="0">
            <x v="3"/>
          </reference>
          <reference field="2" count="1" selected="0">
            <x v="11"/>
          </reference>
        </references>
      </pivotArea>
    </chartFormat>
    <chartFormat chart="3" format="46">
      <pivotArea type="data" outline="0" fieldPosition="0">
        <references count="3">
          <reference field="4294967294" count="1" selected="0">
            <x v="0"/>
          </reference>
          <reference field="1" count="1" selected="0">
            <x v="3"/>
          </reference>
          <reference field="2" count="1" selected="0">
            <x v="12"/>
          </reference>
        </references>
      </pivotArea>
    </chartFormat>
    <chartFormat chart="3" format="47">
      <pivotArea type="data" outline="0" fieldPosition="0">
        <references count="3">
          <reference field="4294967294" count="1" selected="0">
            <x v="0"/>
          </reference>
          <reference field="1" count="1" selected="0">
            <x v="3"/>
          </reference>
          <reference field="2" count="1" selected="0">
            <x v="14"/>
          </reference>
        </references>
      </pivotArea>
    </chartFormat>
    <chartFormat chart="3" format="48">
      <pivotArea type="data" outline="0" fieldPosition="0">
        <references count="3">
          <reference field="4294967294" count="1" selected="0">
            <x v="0"/>
          </reference>
          <reference field="1" count="1" selected="0">
            <x v="3"/>
          </reference>
          <reference field="2" count="1" selected="0">
            <x v="18"/>
          </reference>
        </references>
      </pivotArea>
    </chartFormat>
    <chartFormat chart="3" format="49">
      <pivotArea type="data" outline="0" fieldPosition="0">
        <references count="3">
          <reference field="4294967294" count="1" selected="0">
            <x v="0"/>
          </reference>
          <reference field="1" count="1" selected="0">
            <x v="3"/>
          </reference>
          <reference field="2" count="1" selected="0">
            <x v="21"/>
          </reference>
        </references>
      </pivotArea>
    </chartFormat>
    <chartFormat chart="3" format="50" series="1">
      <pivotArea type="data" outline="0" fieldPosition="0">
        <references count="2">
          <reference field="4294967294" count="1" selected="0">
            <x v="0"/>
          </reference>
          <reference field="1" count="1" selected="0">
            <x v="4"/>
          </reference>
        </references>
      </pivotArea>
    </chartFormat>
    <chartFormat chart="3" format="51">
      <pivotArea type="data" outline="0" fieldPosition="0">
        <references count="3">
          <reference field="4294967294" count="1" selected="0">
            <x v="0"/>
          </reference>
          <reference field="1" count="1" selected="0">
            <x v="4"/>
          </reference>
          <reference field="2" count="1" selected="0">
            <x v="2"/>
          </reference>
        </references>
      </pivotArea>
    </chartFormat>
    <chartFormat chart="3" format="52">
      <pivotArea type="data" outline="0" fieldPosition="0">
        <references count="3">
          <reference field="4294967294" count="1" selected="0">
            <x v="0"/>
          </reference>
          <reference field="1" count="1" selected="0">
            <x v="4"/>
          </reference>
          <reference field="2" count="1" selected="0">
            <x v="4"/>
          </reference>
        </references>
      </pivotArea>
    </chartFormat>
    <chartFormat chart="3" format="53">
      <pivotArea type="data" outline="0" fieldPosition="0">
        <references count="3">
          <reference field="4294967294" count="1" selected="0">
            <x v="0"/>
          </reference>
          <reference field="1" count="1" selected="0">
            <x v="4"/>
          </reference>
          <reference field="2" count="1" selected="0">
            <x v="6"/>
          </reference>
        </references>
      </pivotArea>
    </chartFormat>
    <chartFormat chart="3" format="54">
      <pivotArea type="data" outline="0" fieldPosition="0">
        <references count="3">
          <reference field="4294967294" count="1" selected="0">
            <x v="0"/>
          </reference>
          <reference field="1" count="1" selected="0">
            <x v="4"/>
          </reference>
          <reference field="2" count="1" selected="0">
            <x v="8"/>
          </reference>
        </references>
      </pivotArea>
    </chartFormat>
    <chartFormat chart="3" format="55">
      <pivotArea type="data" outline="0" fieldPosition="0">
        <references count="3">
          <reference field="4294967294" count="1" selected="0">
            <x v="0"/>
          </reference>
          <reference field="1" count="1" selected="0">
            <x v="4"/>
          </reference>
          <reference field="2" count="1" selected="0">
            <x v="10"/>
          </reference>
        </references>
      </pivotArea>
    </chartFormat>
    <chartFormat chart="3" format="56">
      <pivotArea type="data" outline="0" fieldPosition="0">
        <references count="3">
          <reference field="4294967294" count="1" selected="0">
            <x v="0"/>
          </reference>
          <reference field="1" count="1" selected="0">
            <x v="4"/>
          </reference>
          <reference field="2" count="1" selected="0">
            <x v="11"/>
          </reference>
        </references>
      </pivotArea>
    </chartFormat>
    <chartFormat chart="3" format="57">
      <pivotArea type="data" outline="0" fieldPosition="0">
        <references count="3">
          <reference field="4294967294" count="1" selected="0">
            <x v="0"/>
          </reference>
          <reference field="1" count="1" selected="0">
            <x v="4"/>
          </reference>
          <reference field="2" count="1" selected="0">
            <x v="12"/>
          </reference>
        </references>
      </pivotArea>
    </chartFormat>
    <chartFormat chart="3" format="58">
      <pivotArea type="data" outline="0" fieldPosition="0">
        <references count="3">
          <reference field="4294967294" count="1" selected="0">
            <x v="0"/>
          </reference>
          <reference field="1" count="1" selected="0">
            <x v="4"/>
          </reference>
          <reference field="2" count="1" selected="0">
            <x v="14"/>
          </reference>
        </references>
      </pivotArea>
    </chartFormat>
    <chartFormat chart="3" format="59">
      <pivotArea type="data" outline="0" fieldPosition="0">
        <references count="3">
          <reference field="4294967294" count="1" selected="0">
            <x v="0"/>
          </reference>
          <reference field="1" count="1" selected="0">
            <x v="4"/>
          </reference>
          <reference field="2" count="1" selected="0">
            <x v="18"/>
          </reference>
        </references>
      </pivotArea>
    </chartFormat>
    <chartFormat chart="3" format="60">
      <pivotArea type="data" outline="0" fieldPosition="0">
        <references count="3">
          <reference field="4294967294" count="1" selected="0">
            <x v="0"/>
          </reference>
          <reference field="1" count="1" selected="0">
            <x v="4"/>
          </reference>
          <reference field="2" count="1" selected="0">
            <x v="21"/>
          </reference>
        </references>
      </pivotArea>
    </chartFormat>
    <chartFormat chart="3" format="61" series="1">
      <pivotArea type="data" outline="0" fieldPosition="0">
        <references count="2">
          <reference field="4294967294" count="1" selected="0">
            <x v="0"/>
          </reference>
          <reference field="1" count="1" selected="0">
            <x v="5"/>
          </reference>
        </references>
      </pivotArea>
    </chartFormat>
    <chartFormat chart="3" format="62">
      <pivotArea type="data" outline="0" fieldPosition="0">
        <references count="3">
          <reference field="4294967294" count="1" selected="0">
            <x v="0"/>
          </reference>
          <reference field="1" count="1" selected="0">
            <x v="5"/>
          </reference>
          <reference field="2" count="1" selected="0">
            <x v="2"/>
          </reference>
        </references>
      </pivotArea>
    </chartFormat>
    <chartFormat chart="3" format="63">
      <pivotArea type="data" outline="0" fieldPosition="0">
        <references count="3">
          <reference field="4294967294" count="1" selected="0">
            <x v="0"/>
          </reference>
          <reference field="1" count="1" selected="0">
            <x v="5"/>
          </reference>
          <reference field="2" count="1" selected="0">
            <x v="4"/>
          </reference>
        </references>
      </pivotArea>
    </chartFormat>
    <chartFormat chart="3" format="64">
      <pivotArea type="data" outline="0" fieldPosition="0">
        <references count="3">
          <reference field="4294967294" count="1" selected="0">
            <x v="0"/>
          </reference>
          <reference field="1" count="1" selected="0">
            <x v="5"/>
          </reference>
          <reference field="2" count="1" selected="0">
            <x v="6"/>
          </reference>
        </references>
      </pivotArea>
    </chartFormat>
    <chartFormat chart="3" format="65">
      <pivotArea type="data" outline="0" fieldPosition="0">
        <references count="3">
          <reference field="4294967294" count="1" selected="0">
            <x v="0"/>
          </reference>
          <reference field="1" count="1" selected="0">
            <x v="5"/>
          </reference>
          <reference field="2" count="1" selected="0">
            <x v="8"/>
          </reference>
        </references>
      </pivotArea>
    </chartFormat>
    <chartFormat chart="3" format="66">
      <pivotArea type="data" outline="0" fieldPosition="0">
        <references count="3">
          <reference field="4294967294" count="1" selected="0">
            <x v="0"/>
          </reference>
          <reference field="1" count="1" selected="0">
            <x v="5"/>
          </reference>
          <reference field="2" count="1" selected="0">
            <x v="10"/>
          </reference>
        </references>
      </pivotArea>
    </chartFormat>
    <chartFormat chart="3" format="67">
      <pivotArea type="data" outline="0" fieldPosition="0">
        <references count="3">
          <reference field="4294967294" count="1" selected="0">
            <x v="0"/>
          </reference>
          <reference field="1" count="1" selected="0">
            <x v="5"/>
          </reference>
          <reference field="2" count="1" selected="0">
            <x v="11"/>
          </reference>
        </references>
      </pivotArea>
    </chartFormat>
    <chartFormat chart="3" format="68">
      <pivotArea type="data" outline="0" fieldPosition="0">
        <references count="3">
          <reference field="4294967294" count="1" selected="0">
            <x v="0"/>
          </reference>
          <reference field="1" count="1" selected="0">
            <x v="5"/>
          </reference>
          <reference field="2" count="1" selected="0">
            <x v="12"/>
          </reference>
        </references>
      </pivotArea>
    </chartFormat>
    <chartFormat chart="3" format="69">
      <pivotArea type="data" outline="0" fieldPosition="0">
        <references count="3">
          <reference field="4294967294" count="1" selected="0">
            <x v="0"/>
          </reference>
          <reference field="1" count="1" selected="0">
            <x v="5"/>
          </reference>
          <reference field="2" count="1" selected="0">
            <x v="14"/>
          </reference>
        </references>
      </pivotArea>
    </chartFormat>
    <chartFormat chart="3" format="70">
      <pivotArea type="data" outline="0" fieldPosition="0">
        <references count="3">
          <reference field="4294967294" count="1" selected="0">
            <x v="0"/>
          </reference>
          <reference field="1" count="1" selected="0">
            <x v="5"/>
          </reference>
          <reference field="2" count="1" selected="0">
            <x v="18"/>
          </reference>
        </references>
      </pivotArea>
    </chartFormat>
    <chartFormat chart="3" format="71">
      <pivotArea type="data" outline="0" fieldPosition="0">
        <references count="3">
          <reference field="4294967294" count="1" selected="0">
            <x v="0"/>
          </reference>
          <reference field="1" count="1" selected="0">
            <x v="5"/>
          </reference>
          <reference field="2" count="1" selected="0">
            <x v="21"/>
          </reference>
        </references>
      </pivotArea>
    </chartFormat>
    <chartFormat chart="4" format="72" series="1">
      <pivotArea type="data" outline="0" fieldPosition="0">
        <references count="2">
          <reference field="4294967294" count="1" selected="0">
            <x v="0"/>
          </reference>
          <reference field="1" count="1" selected="0">
            <x v="0"/>
          </reference>
        </references>
      </pivotArea>
    </chartFormat>
    <chartFormat chart="4" format="73">
      <pivotArea type="data" outline="0" fieldPosition="0">
        <references count="3">
          <reference field="4294967294" count="1" selected="0">
            <x v="0"/>
          </reference>
          <reference field="1" count="1" selected="0">
            <x v="0"/>
          </reference>
          <reference field="2" count="1" selected="0">
            <x v="2"/>
          </reference>
        </references>
      </pivotArea>
    </chartFormat>
    <chartFormat chart="4" format="74">
      <pivotArea type="data" outline="0" fieldPosition="0">
        <references count="3">
          <reference field="4294967294" count="1" selected="0">
            <x v="0"/>
          </reference>
          <reference field="1" count="1" selected="0">
            <x v="0"/>
          </reference>
          <reference field="2" count="1" selected="0">
            <x v="4"/>
          </reference>
        </references>
      </pivotArea>
    </chartFormat>
    <chartFormat chart="4" format="75">
      <pivotArea type="data" outline="0" fieldPosition="0">
        <references count="3">
          <reference field="4294967294" count="1" selected="0">
            <x v="0"/>
          </reference>
          <reference field="1" count="1" selected="0">
            <x v="0"/>
          </reference>
          <reference field="2" count="1" selected="0">
            <x v="6"/>
          </reference>
        </references>
      </pivotArea>
    </chartFormat>
    <chartFormat chart="4" format="76">
      <pivotArea type="data" outline="0" fieldPosition="0">
        <references count="3">
          <reference field="4294967294" count="1" selected="0">
            <x v="0"/>
          </reference>
          <reference field="1" count="1" selected="0">
            <x v="0"/>
          </reference>
          <reference field="2" count="1" selected="0">
            <x v="8"/>
          </reference>
        </references>
      </pivotArea>
    </chartFormat>
    <chartFormat chart="4" format="77">
      <pivotArea type="data" outline="0" fieldPosition="0">
        <references count="3">
          <reference field="4294967294" count="1" selected="0">
            <x v="0"/>
          </reference>
          <reference field="1" count="1" selected="0">
            <x v="0"/>
          </reference>
          <reference field="2" count="1" selected="0">
            <x v="10"/>
          </reference>
        </references>
      </pivotArea>
    </chartFormat>
    <chartFormat chart="4" format="78">
      <pivotArea type="data" outline="0" fieldPosition="0">
        <references count="3">
          <reference field="4294967294" count="1" selected="0">
            <x v="0"/>
          </reference>
          <reference field="1" count="1" selected="0">
            <x v="0"/>
          </reference>
          <reference field="2" count="1" selected="0">
            <x v="11"/>
          </reference>
        </references>
      </pivotArea>
    </chartFormat>
    <chartFormat chart="4" format="79">
      <pivotArea type="data" outline="0" fieldPosition="0">
        <references count="3">
          <reference field="4294967294" count="1" selected="0">
            <x v="0"/>
          </reference>
          <reference field="1" count="1" selected="0">
            <x v="0"/>
          </reference>
          <reference field="2" count="1" selected="0">
            <x v="12"/>
          </reference>
        </references>
      </pivotArea>
    </chartFormat>
    <chartFormat chart="4" format="80">
      <pivotArea type="data" outline="0" fieldPosition="0">
        <references count="3">
          <reference field="4294967294" count="1" selected="0">
            <x v="0"/>
          </reference>
          <reference field="1" count="1" selected="0">
            <x v="0"/>
          </reference>
          <reference field="2" count="1" selected="0">
            <x v="14"/>
          </reference>
        </references>
      </pivotArea>
    </chartFormat>
    <chartFormat chart="4" format="81">
      <pivotArea type="data" outline="0" fieldPosition="0">
        <references count="3">
          <reference field="4294967294" count="1" selected="0">
            <x v="0"/>
          </reference>
          <reference field="1" count="1" selected="0">
            <x v="0"/>
          </reference>
          <reference field="2" count="1" selected="0">
            <x v="18"/>
          </reference>
        </references>
      </pivotArea>
    </chartFormat>
    <chartFormat chart="4" format="82">
      <pivotArea type="data" outline="0" fieldPosition="0">
        <references count="3">
          <reference field="4294967294" count="1" selected="0">
            <x v="0"/>
          </reference>
          <reference field="1" count="1" selected="0">
            <x v="0"/>
          </reference>
          <reference field="2" count="1" selected="0">
            <x v="21"/>
          </reference>
        </references>
      </pivotArea>
    </chartFormat>
    <chartFormat chart="4" format="83" series="1">
      <pivotArea type="data" outline="0" fieldPosition="0">
        <references count="2">
          <reference field="4294967294" count="1" selected="0">
            <x v="0"/>
          </reference>
          <reference field="1" count="1" selected="0">
            <x v="1"/>
          </reference>
        </references>
      </pivotArea>
    </chartFormat>
    <chartFormat chart="4" format="84">
      <pivotArea type="data" outline="0" fieldPosition="0">
        <references count="3">
          <reference field="4294967294" count="1" selected="0">
            <x v="0"/>
          </reference>
          <reference field="1" count="1" selected="0">
            <x v="1"/>
          </reference>
          <reference field="2" count="1" selected="0">
            <x v="2"/>
          </reference>
        </references>
      </pivotArea>
    </chartFormat>
    <chartFormat chart="4" format="85">
      <pivotArea type="data" outline="0" fieldPosition="0">
        <references count="3">
          <reference field="4294967294" count="1" selected="0">
            <x v="0"/>
          </reference>
          <reference field="1" count="1" selected="0">
            <x v="1"/>
          </reference>
          <reference field="2" count="1" selected="0">
            <x v="4"/>
          </reference>
        </references>
      </pivotArea>
    </chartFormat>
    <chartFormat chart="4" format="86">
      <pivotArea type="data" outline="0" fieldPosition="0">
        <references count="3">
          <reference field="4294967294" count="1" selected="0">
            <x v="0"/>
          </reference>
          <reference field="1" count="1" selected="0">
            <x v="1"/>
          </reference>
          <reference field="2" count="1" selected="0">
            <x v="6"/>
          </reference>
        </references>
      </pivotArea>
    </chartFormat>
    <chartFormat chart="4" format="87">
      <pivotArea type="data" outline="0" fieldPosition="0">
        <references count="3">
          <reference field="4294967294" count="1" selected="0">
            <x v="0"/>
          </reference>
          <reference field="1" count="1" selected="0">
            <x v="1"/>
          </reference>
          <reference field="2" count="1" selected="0">
            <x v="8"/>
          </reference>
        </references>
      </pivotArea>
    </chartFormat>
    <chartFormat chart="4" format="88">
      <pivotArea type="data" outline="0" fieldPosition="0">
        <references count="3">
          <reference field="4294967294" count="1" selected="0">
            <x v="0"/>
          </reference>
          <reference field="1" count="1" selected="0">
            <x v="1"/>
          </reference>
          <reference field="2" count="1" selected="0">
            <x v="10"/>
          </reference>
        </references>
      </pivotArea>
    </chartFormat>
    <chartFormat chart="4" format="89">
      <pivotArea type="data" outline="0" fieldPosition="0">
        <references count="3">
          <reference field="4294967294" count="1" selected="0">
            <x v="0"/>
          </reference>
          <reference field="1" count="1" selected="0">
            <x v="1"/>
          </reference>
          <reference field="2" count="1" selected="0">
            <x v="11"/>
          </reference>
        </references>
      </pivotArea>
    </chartFormat>
    <chartFormat chart="4" format="90">
      <pivotArea type="data" outline="0" fieldPosition="0">
        <references count="3">
          <reference field="4294967294" count="1" selected="0">
            <x v="0"/>
          </reference>
          <reference field="1" count="1" selected="0">
            <x v="1"/>
          </reference>
          <reference field="2" count="1" selected="0">
            <x v="12"/>
          </reference>
        </references>
      </pivotArea>
    </chartFormat>
    <chartFormat chart="4" format="91">
      <pivotArea type="data" outline="0" fieldPosition="0">
        <references count="3">
          <reference field="4294967294" count="1" selected="0">
            <x v="0"/>
          </reference>
          <reference field="1" count="1" selected="0">
            <x v="1"/>
          </reference>
          <reference field="2" count="1" selected="0">
            <x v="14"/>
          </reference>
        </references>
      </pivotArea>
    </chartFormat>
    <chartFormat chart="4" format="92">
      <pivotArea type="data" outline="0" fieldPosition="0">
        <references count="3">
          <reference field="4294967294" count="1" selected="0">
            <x v="0"/>
          </reference>
          <reference field="1" count="1" selected="0">
            <x v="1"/>
          </reference>
          <reference field="2" count="1" selected="0">
            <x v="18"/>
          </reference>
        </references>
      </pivotArea>
    </chartFormat>
    <chartFormat chart="4" format="93">
      <pivotArea type="data" outline="0" fieldPosition="0">
        <references count="3">
          <reference field="4294967294" count="1" selected="0">
            <x v="0"/>
          </reference>
          <reference field="1" count="1" selected="0">
            <x v="1"/>
          </reference>
          <reference field="2" count="1" selected="0">
            <x v="21"/>
          </reference>
        </references>
      </pivotArea>
    </chartFormat>
    <chartFormat chart="4" format="94" series="1">
      <pivotArea type="data" outline="0" fieldPosition="0">
        <references count="2">
          <reference field="4294967294" count="1" selected="0">
            <x v="0"/>
          </reference>
          <reference field="1" count="1" selected="0">
            <x v="2"/>
          </reference>
        </references>
      </pivotArea>
    </chartFormat>
    <chartFormat chart="4" format="95">
      <pivotArea type="data" outline="0" fieldPosition="0">
        <references count="3">
          <reference field="4294967294" count="1" selected="0">
            <x v="0"/>
          </reference>
          <reference field="1" count="1" selected="0">
            <x v="2"/>
          </reference>
          <reference field="2" count="1" selected="0">
            <x v="2"/>
          </reference>
        </references>
      </pivotArea>
    </chartFormat>
    <chartFormat chart="4" format="96">
      <pivotArea type="data" outline="0" fieldPosition="0">
        <references count="3">
          <reference field="4294967294" count="1" selected="0">
            <x v="0"/>
          </reference>
          <reference field="1" count="1" selected="0">
            <x v="2"/>
          </reference>
          <reference field="2" count="1" selected="0">
            <x v="4"/>
          </reference>
        </references>
      </pivotArea>
    </chartFormat>
    <chartFormat chart="4" format="97">
      <pivotArea type="data" outline="0" fieldPosition="0">
        <references count="3">
          <reference field="4294967294" count="1" selected="0">
            <x v="0"/>
          </reference>
          <reference field="1" count="1" selected="0">
            <x v="2"/>
          </reference>
          <reference field="2" count="1" selected="0">
            <x v="6"/>
          </reference>
        </references>
      </pivotArea>
    </chartFormat>
    <chartFormat chart="4" format="98">
      <pivotArea type="data" outline="0" fieldPosition="0">
        <references count="3">
          <reference field="4294967294" count="1" selected="0">
            <x v="0"/>
          </reference>
          <reference field="1" count="1" selected="0">
            <x v="2"/>
          </reference>
          <reference field="2" count="1" selected="0">
            <x v="8"/>
          </reference>
        </references>
      </pivotArea>
    </chartFormat>
    <chartFormat chart="4" format="99">
      <pivotArea type="data" outline="0" fieldPosition="0">
        <references count="3">
          <reference field="4294967294" count="1" selected="0">
            <x v="0"/>
          </reference>
          <reference field="1" count="1" selected="0">
            <x v="2"/>
          </reference>
          <reference field="2" count="1" selected="0">
            <x v="10"/>
          </reference>
        </references>
      </pivotArea>
    </chartFormat>
    <chartFormat chart="4" format="100">
      <pivotArea type="data" outline="0" fieldPosition="0">
        <references count="3">
          <reference field="4294967294" count="1" selected="0">
            <x v="0"/>
          </reference>
          <reference field="1" count="1" selected="0">
            <x v="2"/>
          </reference>
          <reference field="2" count="1" selected="0">
            <x v="11"/>
          </reference>
        </references>
      </pivotArea>
    </chartFormat>
    <chartFormat chart="4" format="101">
      <pivotArea type="data" outline="0" fieldPosition="0">
        <references count="3">
          <reference field="4294967294" count="1" selected="0">
            <x v="0"/>
          </reference>
          <reference field="1" count="1" selected="0">
            <x v="2"/>
          </reference>
          <reference field="2" count="1" selected="0">
            <x v="12"/>
          </reference>
        </references>
      </pivotArea>
    </chartFormat>
    <chartFormat chart="4" format="102">
      <pivotArea type="data" outline="0" fieldPosition="0">
        <references count="3">
          <reference field="4294967294" count="1" selected="0">
            <x v="0"/>
          </reference>
          <reference field="1" count="1" selected="0">
            <x v="2"/>
          </reference>
          <reference field="2" count="1" selected="0">
            <x v="14"/>
          </reference>
        </references>
      </pivotArea>
    </chartFormat>
    <chartFormat chart="4" format="103">
      <pivotArea type="data" outline="0" fieldPosition="0">
        <references count="3">
          <reference field="4294967294" count="1" selected="0">
            <x v="0"/>
          </reference>
          <reference field="1" count="1" selected="0">
            <x v="2"/>
          </reference>
          <reference field="2" count="1" selected="0">
            <x v="18"/>
          </reference>
        </references>
      </pivotArea>
    </chartFormat>
    <chartFormat chart="4" format="104">
      <pivotArea type="data" outline="0" fieldPosition="0">
        <references count="3">
          <reference field="4294967294" count="1" selected="0">
            <x v="0"/>
          </reference>
          <reference field="1" count="1" selected="0">
            <x v="2"/>
          </reference>
          <reference field="2" count="1" selected="0">
            <x v="21"/>
          </reference>
        </references>
      </pivotArea>
    </chartFormat>
    <chartFormat chart="4" format="105" series="1">
      <pivotArea type="data" outline="0" fieldPosition="0">
        <references count="2">
          <reference field="4294967294" count="1" selected="0">
            <x v="0"/>
          </reference>
          <reference field="1" count="1" selected="0">
            <x v="3"/>
          </reference>
        </references>
      </pivotArea>
    </chartFormat>
    <chartFormat chart="4" format="106">
      <pivotArea type="data" outline="0" fieldPosition="0">
        <references count="3">
          <reference field="4294967294" count="1" selected="0">
            <x v="0"/>
          </reference>
          <reference field="1" count="1" selected="0">
            <x v="3"/>
          </reference>
          <reference field="2" count="1" selected="0">
            <x v="2"/>
          </reference>
        </references>
      </pivotArea>
    </chartFormat>
    <chartFormat chart="4" format="107">
      <pivotArea type="data" outline="0" fieldPosition="0">
        <references count="3">
          <reference field="4294967294" count="1" selected="0">
            <x v="0"/>
          </reference>
          <reference field="1" count="1" selected="0">
            <x v="3"/>
          </reference>
          <reference field="2" count="1" selected="0">
            <x v="4"/>
          </reference>
        </references>
      </pivotArea>
    </chartFormat>
    <chartFormat chart="4" format="108">
      <pivotArea type="data" outline="0" fieldPosition="0">
        <references count="3">
          <reference field="4294967294" count="1" selected="0">
            <x v="0"/>
          </reference>
          <reference field="1" count="1" selected="0">
            <x v="3"/>
          </reference>
          <reference field="2" count="1" selected="0">
            <x v="6"/>
          </reference>
        </references>
      </pivotArea>
    </chartFormat>
    <chartFormat chart="4" format="109">
      <pivotArea type="data" outline="0" fieldPosition="0">
        <references count="3">
          <reference field="4294967294" count="1" selected="0">
            <x v="0"/>
          </reference>
          <reference field="1" count="1" selected="0">
            <x v="3"/>
          </reference>
          <reference field="2" count="1" selected="0">
            <x v="8"/>
          </reference>
        </references>
      </pivotArea>
    </chartFormat>
    <chartFormat chart="4" format="110">
      <pivotArea type="data" outline="0" fieldPosition="0">
        <references count="3">
          <reference field="4294967294" count="1" selected="0">
            <x v="0"/>
          </reference>
          <reference field="1" count="1" selected="0">
            <x v="3"/>
          </reference>
          <reference field="2" count="1" selected="0">
            <x v="10"/>
          </reference>
        </references>
      </pivotArea>
    </chartFormat>
    <chartFormat chart="4" format="111">
      <pivotArea type="data" outline="0" fieldPosition="0">
        <references count="3">
          <reference field="4294967294" count="1" selected="0">
            <x v="0"/>
          </reference>
          <reference field="1" count="1" selected="0">
            <x v="3"/>
          </reference>
          <reference field="2" count="1" selected="0">
            <x v="11"/>
          </reference>
        </references>
      </pivotArea>
    </chartFormat>
    <chartFormat chart="4" format="112">
      <pivotArea type="data" outline="0" fieldPosition="0">
        <references count="3">
          <reference field="4294967294" count="1" selected="0">
            <x v="0"/>
          </reference>
          <reference field="1" count="1" selected="0">
            <x v="3"/>
          </reference>
          <reference field="2" count="1" selected="0">
            <x v="12"/>
          </reference>
        </references>
      </pivotArea>
    </chartFormat>
    <chartFormat chart="4" format="113">
      <pivotArea type="data" outline="0" fieldPosition="0">
        <references count="3">
          <reference field="4294967294" count="1" selected="0">
            <x v="0"/>
          </reference>
          <reference field="1" count="1" selected="0">
            <x v="3"/>
          </reference>
          <reference field="2" count="1" selected="0">
            <x v="14"/>
          </reference>
        </references>
      </pivotArea>
    </chartFormat>
    <chartFormat chart="4" format="114">
      <pivotArea type="data" outline="0" fieldPosition="0">
        <references count="3">
          <reference field="4294967294" count="1" selected="0">
            <x v="0"/>
          </reference>
          <reference field="1" count="1" selected="0">
            <x v="3"/>
          </reference>
          <reference field="2" count="1" selected="0">
            <x v="18"/>
          </reference>
        </references>
      </pivotArea>
    </chartFormat>
    <chartFormat chart="4" format="115">
      <pivotArea type="data" outline="0" fieldPosition="0">
        <references count="3">
          <reference field="4294967294" count="1" selected="0">
            <x v="0"/>
          </reference>
          <reference field="1" count="1" selected="0">
            <x v="3"/>
          </reference>
          <reference field="2" count="1" selected="0">
            <x v="21"/>
          </reference>
        </references>
      </pivotArea>
    </chartFormat>
    <chartFormat chart="4" format="116" series="1">
      <pivotArea type="data" outline="0" fieldPosition="0">
        <references count="2">
          <reference field="4294967294" count="1" selected="0">
            <x v="0"/>
          </reference>
          <reference field="1" count="1" selected="0">
            <x v="4"/>
          </reference>
        </references>
      </pivotArea>
    </chartFormat>
    <chartFormat chart="4" format="117">
      <pivotArea type="data" outline="0" fieldPosition="0">
        <references count="3">
          <reference field="4294967294" count="1" selected="0">
            <x v="0"/>
          </reference>
          <reference field="1" count="1" selected="0">
            <x v="4"/>
          </reference>
          <reference field="2" count="1" selected="0">
            <x v="2"/>
          </reference>
        </references>
      </pivotArea>
    </chartFormat>
    <chartFormat chart="4" format="118">
      <pivotArea type="data" outline="0" fieldPosition="0">
        <references count="3">
          <reference field="4294967294" count="1" selected="0">
            <x v="0"/>
          </reference>
          <reference field="1" count="1" selected="0">
            <x v="4"/>
          </reference>
          <reference field="2" count="1" selected="0">
            <x v="4"/>
          </reference>
        </references>
      </pivotArea>
    </chartFormat>
    <chartFormat chart="4" format="119">
      <pivotArea type="data" outline="0" fieldPosition="0">
        <references count="3">
          <reference field="4294967294" count="1" selected="0">
            <x v="0"/>
          </reference>
          <reference field="1" count="1" selected="0">
            <x v="4"/>
          </reference>
          <reference field="2" count="1" selected="0">
            <x v="6"/>
          </reference>
        </references>
      </pivotArea>
    </chartFormat>
    <chartFormat chart="4" format="120">
      <pivotArea type="data" outline="0" fieldPosition="0">
        <references count="3">
          <reference field="4294967294" count="1" selected="0">
            <x v="0"/>
          </reference>
          <reference field="1" count="1" selected="0">
            <x v="4"/>
          </reference>
          <reference field="2" count="1" selected="0">
            <x v="8"/>
          </reference>
        </references>
      </pivotArea>
    </chartFormat>
    <chartFormat chart="4" format="121">
      <pivotArea type="data" outline="0" fieldPosition="0">
        <references count="3">
          <reference field="4294967294" count="1" selected="0">
            <x v="0"/>
          </reference>
          <reference field="1" count="1" selected="0">
            <x v="4"/>
          </reference>
          <reference field="2" count="1" selected="0">
            <x v="10"/>
          </reference>
        </references>
      </pivotArea>
    </chartFormat>
    <chartFormat chart="4" format="122">
      <pivotArea type="data" outline="0" fieldPosition="0">
        <references count="3">
          <reference field="4294967294" count="1" selected="0">
            <x v="0"/>
          </reference>
          <reference field="1" count="1" selected="0">
            <x v="4"/>
          </reference>
          <reference field="2" count="1" selected="0">
            <x v="11"/>
          </reference>
        </references>
      </pivotArea>
    </chartFormat>
    <chartFormat chart="4" format="123">
      <pivotArea type="data" outline="0" fieldPosition="0">
        <references count="3">
          <reference field="4294967294" count="1" selected="0">
            <x v="0"/>
          </reference>
          <reference field="1" count="1" selected="0">
            <x v="4"/>
          </reference>
          <reference field="2" count="1" selected="0">
            <x v="12"/>
          </reference>
        </references>
      </pivotArea>
    </chartFormat>
    <chartFormat chart="4" format="124">
      <pivotArea type="data" outline="0" fieldPosition="0">
        <references count="3">
          <reference field="4294967294" count="1" selected="0">
            <x v="0"/>
          </reference>
          <reference field="1" count="1" selected="0">
            <x v="4"/>
          </reference>
          <reference field="2" count="1" selected="0">
            <x v="14"/>
          </reference>
        </references>
      </pivotArea>
    </chartFormat>
    <chartFormat chart="4" format="125">
      <pivotArea type="data" outline="0" fieldPosition="0">
        <references count="3">
          <reference field="4294967294" count="1" selected="0">
            <x v="0"/>
          </reference>
          <reference field="1" count="1" selected="0">
            <x v="4"/>
          </reference>
          <reference field="2" count="1" selected="0">
            <x v="18"/>
          </reference>
        </references>
      </pivotArea>
    </chartFormat>
    <chartFormat chart="4" format="126">
      <pivotArea type="data" outline="0" fieldPosition="0">
        <references count="3">
          <reference field="4294967294" count="1" selected="0">
            <x v="0"/>
          </reference>
          <reference field="1" count="1" selected="0">
            <x v="4"/>
          </reference>
          <reference field="2" count="1" selected="0">
            <x v="21"/>
          </reference>
        </references>
      </pivotArea>
    </chartFormat>
    <chartFormat chart="4" format="127" series="1">
      <pivotArea type="data" outline="0" fieldPosition="0">
        <references count="2">
          <reference field="4294967294" count="1" selected="0">
            <x v="0"/>
          </reference>
          <reference field="1" count="1" selected="0">
            <x v="5"/>
          </reference>
        </references>
      </pivotArea>
    </chartFormat>
    <chartFormat chart="4" format="128">
      <pivotArea type="data" outline="0" fieldPosition="0">
        <references count="3">
          <reference field="4294967294" count="1" selected="0">
            <x v="0"/>
          </reference>
          <reference field="1" count="1" selected="0">
            <x v="5"/>
          </reference>
          <reference field="2" count="1" selected="0">
            <x v="2"/>
          </reference>
        </references>
      </pivotArea>
    </chartFormat>
    <chartFormat chart="4" format="129">
      <pivotArea type="data" outline="0" fieldPosition="0">
        <references count="3">
          <reference field="4294967294" count="1" selected="0">
            <x v="0"/>
          </reference>
          <reference field="1" count="1" selected="0">
            <x v="5"/>
          </reference>
          <reference field="2" count="1" selected="0">
            <x v="4"/>
          </reference>
        </references>
      </pivotArea>
    </chartFormat>
    <chartFormat chart="4" format="130">
      <pivotArea type="data" outline="0" fieldPosition="0">
        <references count="3">
          <reference field="4294967294" count="1" selected="0">
            <x v="0"/>
          </reference>
          <reference field="1" count="1" selected="0">
            <x v="5"/>
          </reference>
          <reference field="2" count="1" selected="0">
            <x v="6"/>
          </reference>
        </references>
      </pivotArea>
    </chartFormat>
    <chartFormat chart="4" format="131">
      <pivotArea type="data" outline="0" fieldPosition="0">
        <references count="3">
          <reference field="4294967294" count="1" selected="0">
            <x v="0"/>
          </reference>
          <reference field="1" count="1" selected="0">
            <x v="5"/>
          </reference>
          <reference field="2" count="1" selected="0">
            <x v="8"/>
          </reference>
        </references>
      </pivotArea>
    </chartFormat>
    <chartFormat chart="4" format="132">
      <pivotArea type="data" outline="0" fieldPosition="0">
        <references count="3">
          <reference field="4294967294" count="1" selected="0">
            <x v="0"/>
          </reference>
          <reference field="1" count="1" selected="0">
            <x v="5"/>
          </reference>
          <reference field="2" count="1" selected="0">
            <x v="10"/>
          </reference>
        </references>
      </pivotArea>
    </chartFormat>
    <chartFormat chart="4" format="133">
      <pivotArea type="data" outline="0" fieldPosition="0">
        <references count="3">
          <reference field="4294967294" count="1" selected="0">
            <x v="0"/>
          </reference>
          <reference field="1" count="1" selected="0">
            <x v="5"/>
          </reference>
          <reference field="2" count="1" selected="0">
            <x v="11"/>
          </reference>
        </references>
      </pivotArea>
    </chartFormat>
    <chartFormat chart="4" format="134">
      <pivotArea type="data" outline="0" fieldPosition="0">
        <references count="3">
          <reference field="4294967294" count="1" selected="0">
            <x v="0"/>
          </reference>
          <reference field="1" count="1" selected="0">
            <x v="5"/>
          </reference>
          <reference field="2" count="1" selected="0">
            <x v="12"/>
          </reference>
        </references>
      </pivotArea>
    </chartFormat>
    <chartFormat chart="4" format="135">
      <pivotArea type="data" outline="0" fieldPosition="0">
        <references count="3">
          <reference field="4294967294" count="1" selected="0">
            <x v="0"/>
          </reference>
          <reference field="1" count="1" selected="0">
            <x v="5"/>
          </reference>
          <reference field="2" count="1" selected="0">
            <x v="14"/>
          </reference>
        </references>
      </pivotArea>
    </chartFormat>
    <chartFormat chart="4" format="136">
      <pivotArea type="data" outline="0" fieldPosition="0">
        <references count="3">
          <reference field="4294967294" count="1" selected="0">
            <x v="0"/>
          </reference>
          <reference field="1" count="1" selected="0">
            <x v="5"/>
          </reference>
          <reference field="2" count="1" selected="0">
            <x v="18"/>
          </reference>
        </references>
      </pivotArea>
    </chartFormat>
    <chartFormat chart="4" format="137">
      <pivotArea type="data" outline="0" fieldPosition="0">
        <references count="3">
          <reference field="4294967294" count="1" selected="0">
            <x v="0"/>
          </reference>
          <reference field="1" count="1" selected="0">
            <x v="5"/>
          </reference>
          <reference field="2" count="1" selected="0">
            <x v="21"/>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100-000008000000}" name="PivotTable7"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1">
  <location ref="AC3:AD10" firstHeaderRow="1" firstDataRow="1" firstDataCol="1"/>
  <pivotFields count="9">
    <pivotField showAll="0">
      <items count="11">
        <item x="7"/>
        <item x="1"/>
        <item x="3"/>
        <item x="5"/>
        <item x="4"/>
        <item x="6"/>
        <item x="8"/>
        <item x="2"/>
        <item x="9"/>
        <item x="0"/>
        <item t="default"/>
      </items>
    </pivotField>
    <pivotField axis="axisRow" showAll="0">
      <items count="7">
        <item x="4"/>
        <item x="2"/>
        <item x="5"/>
        <item x="0"/>
        <item x="3"/>
        <item x="1"/>
        <item t="default"/>
      </items>
    </pivotField>
    <pivotField showAll="0">
      <items count="23">
        <item x="8"/>
        <item x="0"/>
        <item x="17"/>
        <item x="15"/>
        <item x="7"/>
        <item x="2"/>
        <item x="21"/>
        <item x="19"/>
        <item x="1"/>
        <item x="3"/>
        <item x="9"/>
        <item x="14"/>
        <item x="12"/>
        <item x="11"/>
        <item x="10"/>
        <item x="13"/>
        <item x="18"/>
        <item x="5"/>
        <item x="16"/>
        <item x="6"/>
        <item x="20"/>
        <item x="4"/>
        <item t="default"/>
      </items>
    </pivotField>
    <pivotField dataField="1" numFmtId="6" showAll="0"/>
    <pivotField showAll="0"/>
    <pivotField showAll="0"/>
    <pivotField showAll="0"/>
    <pivotField numFmtId="6" showAll="0"/>
    <pivotField numFmtId="9" showAll="0"/>
  </pivotFields>
  <rowFields count="1">
    <field x="1"/>
  </rowFields>
  <rowItems count="7">
    <i>
      <x/>
    </i>
    <i>
      <x v="1"/>
    </i>
    <i>
      <x v="2"/>
    </i>
    <i>
      <x v="3"/>
    </i>
    <i>
      <x v="4"/>
    </i>
    <i>
      <x v="5"/>
    </i>
    <i t="grand">
      <x/>
    </i>
  </rowItems>
  <colItems count="1">
    <i/>
  </colItems>
  <dataFields count="1">
    <dataField name="Sum of Amount" fld="3" baseField="0" baseItem="0"/>
  </dataFields>
  <chartFormats count="7">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1" count="1" selected="0">
            <x v="1"/>
          </reference>
        </references>
      </pivotArea>
    </chartFormat>
    <chartFormat chart="8" format="7">
      <pivotArea type="data" outline="0" fieldPosition="0">
        <references count="2">
          <reference field="4294967294" count="1" selected="0">
            <x v="0"/>
          </reference>
          <reference field="1" count="1" selected="0">
            <x v="2"/>
          </reference>
        </references>
      </pivotArea>
    </chartFormat>
    <chartFormat chart="8" format="8">
      <pivotArea type="data" outline="0" fieldPosition="0">
        <references count="2">
          <reference field="4294967294" count="1" selected="0">
            <x v="0"/>
          </reference>
          <reference field="1" count="1" selected="0">
            <x v="3"/>
          </reference>
        </references>
      </pivotArea>
    </chartFormat>
    <chartFormat chart="8" format="9">
      <pivotArea type="data" outline="0" fieldPosition="0">
        <references count="2">
          <reference field="4294967294" count="1" selected="0">
            <x v="0"/>
          </reference>
          <reference field="1" count="1" selected="0">
            <x v="4"/>
          </reference>
        </references>
      </pivotArea>
    </chartFormat>
    <chartFormat chart="8" format="10">
      <pivotArea type="data" outline="0" fieldPosition="0">
        <references count="2">
          <reference field="4294967294" count="1" selected="0">
            <x v="0"/>
          </reference>
          <reference field="1" count="1" selected="0">
            <x v="5"/>
          </reference>
        </references>
      </pivotArea>
    </chartFormat>
    <chartFormat chart="8" format="11">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100-00000A000000}" name="PivotTable9"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J3:AK26" firstHeaderRow="1" firstDataRow="1" firstDataCol="1"/>
  <pivotFields count="9">
    <pivotField showAll="0">
      <items count="11">
        <item x="7"/>
        <item x="1"/>
        <item x="3"/>
        <item x="5"/>
        <item x="4"/>
        <item x="6"/>
        <item x="8"/>
        <item x="2"/>
        <item x="9"/>
        <item x="0"/>
        <item t="default"/>
      </items>
    </pivotField>
    <pivotField showAll="0">
      <items count="7">
        <item x="4"/>
        <item x="2"/>
        <item x="5"/>
        <item x="0"/>
        <item x="3"/>
        <item x="1"/>
        <item t="default"/>
      </items>
    </pivotField>
    <pivotField axis="axisRow" showAll="0">
      <items count="23">
        <item x="8"/>
        <item x="0"/>
        <item x="17"/>
        <item x="15"/>
        <item x="7"/>
        <item x="2"/>
        <item x="21"/>
        <item x="19"/>
        <item x="1"/>
        <item x="3"/>
        <item x="9"/>
        <item x="14"/>
        <item x="12"/>
        <item x="11"/>
        <item x="10"/>
        <item x="13"/>
        <item x="18"/>
        <item x="5"/>
        <item x="16"/>
        <item x="6"/>
        <item x="20"/>
        <item x="4"/>
        <item t="default"/>
      </items>
    </pivotField>
    <pivotField numFmtId="6" showAll="0"/>
    <pivotField dataField="1" showAll="0"/>
    <pivotField showAll="0"/>
    <pivotField showAll="0"/>
    <pivotField numFmtId="6" showAll="0"/>
    <pivotField numFmtId="9" showAll="0"/>
  </pivotFields>
  <rowFields count="1">
    <field x="2"/>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Sum of Unit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00000000-0013-0000-FFFF-FFFF01000000}" sourceName="Sales Person">
  <pivotTables>
    <pivotTable tabId="2" name="PivotTable2"/>
    <pivotTable tabId="2" name="PivotTable10"/>
    <pivotTable tabId="2" name="PivotTable11"/>
    <pivotTable tabId="2" name="PivotTable15"/>
    <pivotTable tabId="2" name="PivotTable3"/>
    <pivotTable tabId="2" name="PivotTable7"/>
    <pivotTable tabId="2" name="PivotTable8"/>
    <pivotTable tabId="2" name="PivotTable9"/>
  </pivotTables>
  <data>
    <tabular pivotCacheId="1">
      <items count="10">
        <i x="7" s="1"/>
        <i x="1" s="1"/>
        <i x="3" s="1"/>
        <i x="5" s="1"/>
        <i x="4" s="1"/>
        <i x="6" s="1"/>
        <i x="8" s="1"/>
        <i x="2" s="1"/>
        <i x="9"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graphy" xr10:uid="{00000000-0013-0000-FFFF-FFFF02000000}" sourceName="Geography">
  <pivotTables>
    <pivotTable tabId="2" name="PivotTable2"/>
    <pivotTable tabId="2" name="PivotTable10"/>
    <pivotTable tabId="2" name="PivotTable11"/>
    <pivotTable tabId="2" name="PivotTable15"/>
    <pivotTable tabId="2" name="PivotTable3"/>
    <pivotTable tabId="2" name="PivotTable7"/>
    <pivotTable tabId="2" name="PivotTable8"/>
    <pivotTable tabId="2" name="PivotTable9"/>
  </pivotTables>
  <data>
    <tabular pivotCacheId="1">
      <items count="6">
        <i x="4" s="1"/>
        <i x="2" s="1"/>
        <i x="5" s="1"/>
        <i x="0"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00000000-0013-0000-FFFF-FFFF03000000}" sourceName="Product">
  <pivotTables>
    <pivotTable tabId="2" name="PivotTable2"/>
    <pivotTable tabId="2" name="PivotTable10"/>
    <pivotTable tabId="2" name="PivotTable11"/>
    <pivotTable tabId="2" name="PivotTable15"/>
    <pivotTable tabId="2" name="PivotTable3"/>
    <pivotTable tabId="2" name="PivotTable7"/>
    <pivotTable tabId="2" name="PivotTable8"/>
    <pivotTable tabId="2" name="PivotTable9"/>
  </pivotTables>
  <data>
    <tabular pivotCacheId="1">
      <items count="22">
        <i x="8" s="1"/>
        <i x="0" s="1"/>
        <i x="17" s="1"/>
        <i x="15" s="1"/>
        <i x="7" s="1"/>
        <i x="2" s="1"/>
        <i x="21" s="1"/>
        <i x="19" s="1"/>
        <i x="1" s="1"/>
        <i x="3" s="1"/>
        <i x="9" s="1"/>
        <i x="14" s="1"/>
        <i x="12" s="1"/>
        <i x="11" s="1"/>
        <i x="10" s="1"/>
        <i x="13" s="1"/>
        <i x="18" s="1"/>
        <i x="5" s="1"/>
        <i x="16" s="1"/>
        <i x="6" s="1"/>
        <i x="20"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Person 1" xr10:uid="{00000000-0014-0000-FFFF-FFFF01000000}" cache="Slicer_Sales_Person" caption="Sales Person" style="SlicerStyleLight2" rowHeight="241300"/>
  <slicer name="Geography 1" xr10:uid="{00000000-0014-0000-FFFF-FFFF02000000}" cache="Slicer_Geography" caption="Geography" style="SlicerStyleLight2" rowHeight="241300"/>
  <slicer name="Product 1" xr10:uid="{00000000-0014-0000-FFFF-FFFF03000000}" cache="Slicer_Product" caption="Product" startItem="5" style="SlicerStyleLigh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I301" totalsRowShown="0">
  <tableColumns count="9">
    <tableColumn id="1" xr3:uid="{00000000-0010-0000-0000-000001000000}" name="Sales Person"/>
    <tableColumn id="2" xr3:uid="{00000000-0010-0000-0000-000002000000}" name="Geography"/>
    <tableColumn id="3" xr3:uid="{00000000-0010-0000-0000-000003000000}" name="Product"/>
    <tableColumn id="4" xr3:uid="{00000000-0010-0000-0000-000004000000}" name="Amount" dataDxfId="10"/>
    <tableColumn id="5" xr3:uid="{00000000-0010-0000-0000-000005000000}" name="Units"/>
    <tableColumn id="6" xr3:uid="{00000000-0010-0000-0000-000006000000}" name="cost per unit"/>
    <tableColumn id="7" xr3:uid="{00000000-0010-0000-0000-000007000000}" name="Cost" dataDxfId="9"/>
    <tableColumn id="8" xr3:uid="{00000000-0010-0000-0000-000008000000}" name="Profit" dataDxfId="8"/>
    <tableColumn id="9" xr3:uid="{00000000-0010-0000-0000-000009000000}" name="profit %" dataDxfId="7">
      <calculatedColumnFormula>IFERROR(H2/D2, 0)</calculatedColumnFormula>
    </tableColumn>
  </tableColumns>
  <tableStyleInfo name="TableStyleLight1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N4:V241" totalsRowShown="0" headerRowDxfId="6" tableBorderDxfId="5">
  <autoFilter ref="N4:V241" xr:uid="{00000000-0009-0000-0100-000002000000}"/>
  <tableColumns count="9">
    <tableColumn id="1" xr3:uid="{00000000-0010-0000-0100-000001000000}" name="Sales Person"/>
    <tableColumn id="2" xr3:uid="{00000000-0010-0000-0100-000002000000}" name="Geography"/>
    <tableColumn id="3" xr3:uid="{00000000-0010-0000-0100-000003000000}" name="Product"/>
    <tableColumn id="4" xr3:uid="{00000000-0010-0000-0100-000004000000}" name="Amount" dataDxfId="4"/>
    <tableColumn id="5" xr3:uid="{00000000-0010-0000-0100-000005000000}" name="Units"/>
    <tableColumn id="6" xr3:uid="{00000000-0010-0000-0100-000006000000}" name="cost per unit"/>
    <tableColumn id="7" xr3:uid="{00000000-0010-0000-0100-000007000000}" name="Cost" dataDxfId="3"/>
    <tableColumn id="8" xr3:uid="{00000000-0010-0000-0100-000008000000}" name="Profit" dataDxfId="2"/>
    <tableColumn id="9" xr3:uid="{00000000-0010-0000-0100-000009000000}" name="profit %" dataDxfId="1"/>
  </tableColumns>
  <tableStyleInfo name="TableStyleLight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301"/>
  <sheetViews>
    <sheetView tabSelected="1" zoomScale="85" zoomScaleNormal="85" workbookViewId="0">
      <selection activeCell="I2" sqref="I2"/>
    </sheetView>
  </sheetViews>
  <sheetFormatPr defaultRowHeight="15" x14ac:dyDescent="0.25"/>
  <cols>
    <col min="1" max="1" width="18" customWidth="1"/>
    <col min="2" max="2" width="13.7109375" customWidth="1"/>
    <col min="3" max="3" width="20.5703125" customWidth="1"/>
    <col min="4" max="9" width="13.7109375" customWidth="1"/>
    <col min="13" max="13" width="6.42578125" customWidth="1"/>
    <col min="14" max="14" width="14.28515625" customWidth="1"/>
    <col min="15" max="15" width="17.85546875" customWidth="1"/>
    <col min="16" max="16" width="20.42578125" customWidth="1"/>
    <col min="17" max="18" width="11.7109375" customWidth="1"/>
    <col min="19" max="19" width="14.140625" customWidth="1"/>
    <col min="20" max="22" width="11.7109375" customWidth="1"/>
    <col min="24" max="24" width="6.140625" customWidth="1"/>
    <col min="25" max="25" width="13.85546875" customWidth="1"/>
    <col min="26" max="26" width="14.7109375" customWidth="1"/>
    <col min="27" max="33" width="11.42578125" customWidth="1"/>
  </cols>
  <sheetData>
    <row r="1" spans="1:33" x14ac:dyDescent="0.25">
      <c r="A1" t="s">
        <v>0</v>
      </c>
      <c r="B1" t="s">
        <v>1</v>
      </c>
      <c r="C1" t="s">
        <v>2</v>
      </c>
      <c r="D1" t="s">
        <v>3</v>
      </c>
      <c r="E1" t="s">
        <v>4</v>
      </c>
      <c r="F1" t="s">
        <v>5</v>
      </c>
      <c r="G1" t="s">
        <v>6</v>
      </c>
      <c r="H1" t="s">
        <v>7</v>
      </c>
      <c r="I1" t="s">
        <v>8</v>
      </c>
      <c r="N1" s="10" t="s">
        <v>0</v>
      </c>
      <c r="O1" s="4" t="s">
        <v>1</v>
      </c>
      <c r="P1" s="4" t="s">
        <v>2</v>
      </c>
      <c r="Q1" s="4" t="s">
        <v>3</v>
      </c>
      <c r="R1" s="4" t="s">
        <v>4</v>
      </c>
      <c r="S1" s="4" t="s">
        <v>5</v>
      </c>
      <c r="T1" s="4" t="s">
        <v>6</v>
      </c>
      <c r="U1" s="4" t="s">
        <v>7</v>
      </c>
      <c r="V1" s="5" t="s">
        <v>8</v>
      </c>
      <c r="Y1" s="10" t="s">
        <v>0</v>
      </c>
      <c r="Z1" s="4" t="s">
        <v>1</v>
      </c>
      <c r="AA1" s="4" t="s">
        <v>2</v>
      </c>
      <c r="AB1" s="4" t="s">
        <v>3</v>
      </c>
      <c r="AC1" s="4" t="s">
        <v>4</v>
      </c>
      <c r="AD1" s="4" t="s">
        <v>5</v>
      </c>
      <c r="AE1" s="4" t="s">
        <v>6</v>
      </c>
      <c r="AF1" s="4" t="s">
        <v>49</v>
      </c>
      <c r="AG1" s="5" t="s">
        <v>50</v>
      </c>
    </row>
    <row r="2" spans="1:33" x14ac:dyDescent="0.25">
      <c r="A2" t="s">
        <v>9</v>
      </c>
      <c r="B2" t="s">
        <v>10</v>
      </c>
      <c r="C2" t="s">
        <v>11</v>
      </c>
      <c r="D2" s="1">
        <v>1624</v>
      </c>
      <c r="E2">
        <v>114</v>
      </c>
      <c r="F2">
        <v>14</v>
      </c>
      <c r="G2" s="2">
        <v>1652</v>
      </c>
      <c r="H2" s="1">
        <v>-28</v>
      </c>
      <c r="I2" s="3">
        <f>IFERROR(H2/D2, 0)</f>
        <v>-1.7241379310344827E-2</v>
      </c>
      <c r="N2" s="11"/>
      <c r="O2" s="9"/>
      <c r="P2" s="9"/>
      <c r="Q2" s="7"/>
      <c r="R2" s="9"/>
      <c r="S2" s="9"/>
      <c r="T2" s="6"/>
      <c r="U2" s="7" t="s">
        <v>47</v>
      </c>
      <c r="V2" s="8"/>
      <c r="Y2" s="11"/>
      <c r="Z2" s="9"/>
      <c r="AA2" s="9"/>
      <c r="AB2" s="7"/>
      <c r="AC2" s="9"/>
      <c r="AD2" s="9"/>
      <c r="AE2" s="6"/>
      <c r="AF2" s="7" t="s">
        <v>48</v>
      </c>
      <c r="AG2" s="8"/>
    </row>
    <row r="3" spans="1:33" x14ac:dyDescent="0.25">
      <c r="A3" t="s">
        <v>12</v>
      </c>
      <c r="B3" t="s">
        <v>13</v>
      </c>
      <c r="C3" t="s">
        <v>14</v>
      </c>
      <c r="D3" s="1">
        <v>6706</v>
      </c>
      <c r="E3">
        <v>459</v>
      </c>
      <c r="F3">
        <v>9</v>
      </c>
      <c r="G3" s="2">
        <v>3970</v>
      </c>
      <c r="H3" s="1">
        <v>2736</v>
      </c>
      <c r="I3" s="3">
        <f t="shared" ref="I3:I66" si="0">IFERROR(H3/D3, 0)</f>
        <v>0.40799284223083804</v>
      </c>
    </row>
    <row r="4" spans="1:33" x14ac:dyDescent="0.25">
      <c r="A4" t="s">
        <v>15</v>
      </c>
      <c r="B4" t="s">
        <v>13</v>
      </c>
      <c r="C4" t="s">
        <v>16</v>
      </c>
      <c r="D4" s="1">
        <v>959</v>
      </c>
      <c r="E4">
        <v>147</v>
      </c>
      <c r="F4">
        <v>12</v>
      </c>
      <c r="G4" s="2">
        <v>1746</v>
      </c>
      <c r="H4" s="1">
        <v>-787</v>
      </c>
      <c r="I4" s="3">
        <f t="shared" si="0"/>
        <v>-0.82064650677789364</v>
      </c>
      <c r="N4" s="19" t="s">
        <v>0</v>
      </c>
      <c r="O4" s="20" t="s">
        <v>1</v>
      </c>
      <c r="P4" s="20" t="s">
        <v>2</v>
      </c>
      <c r="Q4" s="20" t="s">
        <v>3</v>
      </c>
      <c r="R4" s="20" t="s">
        <v>4</v>
      </c>
      <c r="S4" s="20" t="s">
        <v>5</v>
      </c>
      <c r="T4" s="20" t="s">
        <v>6</v>
      </c>
      <c r="U4" s="20" t="s">
        <v>7</v>
      </c>
      <c r="V4" s="21" t="s">
        <v>8</v>
      </c>
      <c r="Y4" s="10" t="s">
        <v>0</v>
      </c>
      <c r="Z4" s="4" t="s">
        <v>1</v>
      </c>
      <c r="AA4" s="4" t="s">
        <v>2</v>
      </c>
      <c r="AB4" s="4" t="s">
        <v>3</v>
      </c>
      <c r="AC4" s="4" t="s">
        <v>4</v>
      </c>
      <c r="AD4" s="4" t="s">
        <v>5</v>
      </c>
      <c r="AE4" s="4" t="s">
        <v>6</v>
      </c>
      <c r="AF4" s="4" t="s">
        <v>49</v>
      </c>
      <c r="AG4" s="5" t="s">
        <v>50</v>
      </c>
    </row>
    <row r="5" spans="1:33" x14ac:dyDescent="0.25">
      <c r="A5" t="s">
        <v>17</v>
      </c>
      <c r="B5" t="s">
        <v>18</v>
      </c>
      <c r="C5" t="s">
        <v>19</v>
      </c>
      <c r="D5" s="1">
        <v>9632</v>
      </c>
      <c r="E5">
        <v>288</v>
      </c>
      <c r="F5">
        <v>6</v>
      </c>
      <c r="G5" s="2">
        <v>1863</v>
      </c>
      <c r="H5" s="1">
        <v>7769</v>
      </c>
      <c r="I5" s="3">
        <f t="shared" si="0"/>
        <v>0.80658222591362128</v>
      </c>
      <c r="N5" t="s">
        <v>12</v>
      </c>
      <c r="O5" t="s">
        <v>13</v>
      </c>
      <c r="P5" t="s">
        <v>14</v>
      </c>
      <c r="Q5" s="1">
        <v>6706</v>
      </c>
      <c r="R5">
        <v>459</v>
      </c>
      <c r="S5">
        <v>9</v>
      </c>
      <c r="T5" s="2">
        <v>3970</v>
      </c>
      <c r="U5" s="1">
        <v>2736</v>
      </c>
      <c r="V5" s="3">
        <v>0.40799284223083804</v>
      </c>
      <c r="Y5" t="s">
        <v>9</v>
      </c>
      <c r="Z5" t="s">
        <v>10</v>
      </c>
      <c r="AA5" t="s">
        <v>11</v>
      </c>
      <c r="AB5" s="1">
        <v>1624</v>
      </c>
      <c r="AC5">
        <v>114</v>
      </c>
      <c r="AD5">
        <v>14</v>
      </c>
      <c r="AE5" s="2">
        <v>1652</v>
      </c>
      <c r="AF5" s="1">
        <v>-28</v>
      </c>
      <c r="AG5" s="3">
        <v>-1.7241379310344827E-2</v>
      </c>
    </row>
    <row r="6" spans="1:33" x14ac:dyDescent="0.25">
      <c r="A6" t="s">
        <v>20</v>
      </c>
      <c r="B6" t="s">
        <v>21</v>
      </c>
      <c r="C6" t="s">
        <v>22</v>
      </c>
      <c r="D6" s="1">
        <v>2100</v>
      </c>
      <c r="E6">
        <v>414</v>
      </c>
      <c r="F6">
        <v>13</v>
      </c>
      <c r="G6" s="2">
        <v>5444</v>
      </c>
      <c r="H6" s="1">
        <v>-3344</v>
      </c>
      <c r="I6" s="3">
        <f t="shared" si="0"/>
        <v>-1.5923809523809525</v>
      </c>
      <c r="N6" t="s">
        <v>17</v>
      </c>
      <c r="O6" t="s">
        <v>18</v>
      </c>
      <c r="P6" t="s">
        <v>19</v>
      </c>
      <c r="Q6" s="1">
        <v>9632</v>
      </c>
      <c r="R6">
        <v>288</v>
      </c>
      <c r="S6">
        <v>6</v>
      </c>
      <c r="T6" s="2">
        <v>1863</v>
      </c>
      <c r="U6" s="1">
        <v>7769</v>
      </c>
      <c r="V6" s="3">
        <v>0.80658222591362128</v>
      </c>
      <c r="Y6" t="s">
        <v>15</v>
      </c>
      <c r="Z6" t="s">
        <v>13</v>
      </c>
      <c r="AA6" t="s">
        <v>16</v>
      </c>
      <c r="AB6" s="1">
        <v>959</v>
      </c>
      <c r="AC6">
        <v>147</v>
      </c>
      <c r="AD6">
        <v>12</v>
      </c>
      <c r="AE6" s="2">
        <v>1746</v>
      </c>
      <c r="AF6" s="1">
        <v>-787</v>
      </c>
      <c r="AG6" s="3">
        <v>-0.82064650677789364</v>
      </c>
    </row>
    <row r="7" spans="1:33" x14ac:dyDescent="0.25">
      <c r="A7" t="s">
        <v>9</v>
      </c>
      <c r="B7" t="s">
        <v>13</v>
      </c>
      <c r="C7" t="s">
        <v>23</v>
      </c>
      <c r="D7" s="1">
        <v>8869</v>
      </c>
      <c r="E7">
        <v>432</v>
      </c>
      <c r="F7">
        <v>12</v>
      </c>
      <c r="G7" s="2">
        <v>5344</v>
      </c>
      <c r="H7" s="1">
        <v>3525</v>
      </c>
      <c r="I7" s="3">
        <f t="shared" si="0"/>
        <v>0.39745179839891759</v>
      </c>
      <c r="N7" t="s">
        <v>9</v>
      </c>
      <c r="O7" t="s">
        <v>13</v>
      </c>
      <c r="P7" t="s">
        <v>23</v>
      </c>
      <c r="Q7" s="1">
        <v>8869</v>
      </c>
      <c r="R7">
        <v>432</v>
      </c>
      <c r="S7">
        <v>12</v>
      </c>
      <c r="T7" s="2">
        <v>5344</v>
      </c>
      <c r="U7" s="1">
        <v>3525</v>
      </c>
      <c r="V7" s="3">
        <v>0.39745179839891759</v>
      </c>
      <c r="Y7" t="s">
        <v>20</v>
      </c>
      <c r="Z7" t="s">
        <v>21</v>
      </c>
      <c r="AA7" t="s">
        <v>22</v>
      </c>
      <c r="AB7" s="1">
        <v>2100</v>
      </c>
      <c r="AC7">
        <v>414</v>
      </c>
      <c r="AD7">
        <v>13</v>
      </c>
      <c r="AE7" s="2">
        <v>5444</v>
      </c>
      <c r="AF7" s="1">
        <v>-3344</v>
      </c>
      <c r="AG7" s="3">
        <v>-1.5923809523809525</v>
      </c>
    </row>
    <row r="8" spans="1:33" x14ac:dyDescent="0.25">
      <c r="A8" t="s">
        <v>20</v>
      </c>
      <c r="B8" t="s">
        <v>24</v>
      </c>
      <c r="C8" t="s">
        <v>25</v>
      </c>
      <c r="D8" s="1">
        <v>2681</v>
      </c>
      <c r="E8">
        <v>54</v>
      </c>
      <c r="F8">
        <v>6</v>
      </c>
      <c r="G8">
        <v>313</v>
      </c>
      <c r="H8" s="1">
        <v>2368</v>
      </c>
      <c r="I8" s="3">
        <f t="shared" si="0"/>
        <v>0.88325251771726965</v>
      </c>
      <c r="N8" t="s">
        <v>20</v>
      </c>
      <c r="O8" t="s">
        <v>24</v>
      </c>
      <c r="P8" t="s">
        <v>25</v>
      </c>
      <c r="Q8" s="1">
        <v>2681</v>
      </c>
      <c r="R8">
        <v>54</v>
      </c>
      <c r="S8">
        <v>6</v>
      </c>
      <c r="T8">
        <v>313</v>
      </c>
      <c r="U8" s="1">
        <v>2368</v>
      </c>
      <c r="V8" s="3">
        <v>0.88325251771726965</v>
      </c>
      <c r="Y8" t="s">
        <v>30</v>
      </c>
      <c r="Z8" t="s">
        <v>21</v>
      </c>
      <c r="AA8" t="s">
        <v>22</v>
      </c>
      <c r="AB8" s="1">
        <v>1785</v>
      </c>
      <c r="AC8">
        <v>462</v>
      </c>
      <c r="AD8">
        <v>13</v>
      </c>
      <c r="AE8" s="2">
        <v>6075</v>
      </c>
      <c r="AF8" s="1">
        <v>-4290</v>
      </c>
      <c r="AG8" s="3">
        <v>-2.403361344537815</v>
      </c>
    </row>
    <row r="9" spans="1:33" x14ac:dyDescent="0.25">
      <c r="A9" t="s">
        <v>12</v>
      </c>
      <c r="B9" t="s">
        <v>13</v>
      </c>
      <c r="C9" t="s">
        <v>26</v>
      </c>
      <c r="D9" s="1">
        <v>5012</v>
      </c>
      <c r="E9">
        <v>210</v>
      </c>
      <c r="F9">
        <v>10</v>
      </c>
      <c r="G9" s="2">
        <v>2052</v>
      </c>
      <c r="H9" s="1">
        <v>2960</v>
      </c>
      <c r="I9" s="3">
        <f t="shared" si="0"/>
        <v>0.59058260175578614</v>
      </c>
      <c r="N9" t="s">
        <v>12</v>
      </c>
      <c r="O9" t="s">
        <v>13</v>
      </c>
      <c r="P9" t="s">
        <v>26</v>
      </c>
      <c r="Q9" s="1">
        <v>5012</v>
      </c>
      <c r="R9">
        <v>210</v>
      </c>
      <c r="S9">
        <v>10</v>
      </c>
      <c r="T9" s="2">
        <v>2052</v>
      </c>
      <c r="U9" s="1">
        <v>2960</v>
      </c>
      <c r="V9" s="3">
        <v>0.59058260175578614</v>
      </c>
      <c r="Y9" t="s">
        <v>30</v>
      </c>
      <c r="Z9" t="s">
        <v>34</v>
      </c>
      <c r="AA9" t="s">
        <v>35</v>
      </c>
      <c r="AB9" s="1">
        <v>252</v>
      </c>
      <c r="AC9">
        <v>54</v>
      </c>
      <c r="AD9">
        <v>9</v>
      </c>
      <c r="AE9">
        <v>504</v>
      </c>
      <c r="AF9" s="1">
        <v>-252</v>
      </c>
      <c r="AG9" s="3">
        <v>-1</v>
      </c>
    </row>
    <row r="10" spans="1:33" x14ac:dyDescent="0.25">
      <c r="A10" t="s">
        <v>27</v>
      </c>
      <c r="B10" t="s">
        <v>24</v>
      </c>
      <c r="C10" t="s">
        <v>28</v>
      </c>
      <c r="D10" s="1">
        <v>1281</v>
      </c>
      <c r="E10">
        <v>75</v>
      </c>
      <c r="F10">
        <v>12</v>
      </c>
      <c r="G10">
        <v>878</v>
      </c>
      <c r="H10" s="1">
        <v>404</v>
      </c>
      <c r="I10" s="3">
        <f t="shared" si="0"/>
        <v>0.31537861046057769</v>
      </c>
      <c r="N10" t="s">
        <v>27</v>
      </c>
      <c r="O10" t="s">
        <v>24</v>
      </c>
      <c r="P10" t="s">
        <v>28</v>
      </c>
      <c r="Q10" s="1">
        <v>1281</v>
      </c>
      <c r="R10">
        <v>75</v>
      </c>
      <c r="S10">
        <v>12</v>
      </c>
      <c r="T10">
        <v>878</v>
      </c>
      <c r="U10" s="1">
        <v>404</v>
      </c>
      <c r="V10" s="3">
        <v>0.31537861046057769</v>
      </c>
      <c r="Y10" t="s">
        <v>31</v>
      </c>
      <c r="Z10" t="s">
        <v>13</v>
      </c>
      <c r="AA10" t="s">
        <v>22</v>
      </c>
      <c r="AB10" s="1">
        <v>2464</v>
      </c>
      <c r="AC10">
        <v>234</v>
      </c>
      <c r="AD10">
        <v>13</v>
      </c>
      <c r="AE10" s="2">
        <v>3077</v>
      </c>
      <c r="AF10" s="1">
        <v>-613</v>
      </c>
      <c r="AG10" s="3">
        <v>-0.24878246753246752</v>
      </c>
    </row>
    <row r="11" spans="1:33" x14ac:dyDescent="0.25">
      <c r="A11" t="s">
        <v>29</v>
      </c>
      <c r="B11" t="s">
        <v>10</v>
      </c>
      <c r="C11" t="s">
        <v>28</v>
      </c>
      <c r="D11" s="1">
        <v>4991</v>
      </c>
      <c r="E11">
        <v>12</v>
      </c>
      <c r="F11">
        <v>12</v>
      </c>
      <c r="G11">
        <v>140</v>
      </c>
      <c r="H11" s="1">
        <v>4851</v>
      </c>
      <c r="I11" s="3">
        <f t="shared" si="0"/>
        <v>0.97194950911640954</v>
      </c>
      <c r="N11" t="s">
        <v>29</v>
      </c>
      <c r="O11" t="s">
        <v>10</v>
      </c>
      <c r="P11" t="s">
        <v>28</v>
      </c>
      <c r="Q11" s="1">
        <v>4991</v>
      </c>
      <c r="R11">
        <v>12</v>
      </c>
      <c r="S11">
        <v>12</v>
      </c>
      <c r="T11">
        <v>140</v>
      </c>
      <c r="U11" s="1">
        <v>4851</v>
      </c>
      <c r="V11" s="3">
        <v>0.97194950911640954</v>
      </c>
      <c r="Y11" t="s">
        <v>17</v>
      </c>
      <c r="Z11" t="s">
        <v>34</v>
      </c>
      <c r="AA11" t="s">
        <v>26</v>
      </c>
      <c r="AB11" s="1">
        <v>336</v>
      </c>
      <c r="AC11">
        <v>144</v>
      </c>
      <c r="AD11">
        <v>10</v>
      </c>
      <c r="AE11" s="2">
        <v>1407</v>
      </c>
      <c r="AF11" s="1">
        <v>-1071</v>
      </c>
      <c r="AG11" s="3">
        <v>-3.1875</v>
      </c>
    </row>
    <row r="12" spans="1:33" x14ac:dyDescent="0.25">
      <c r="A12" t="s">
        <v>30</v>
      </c>
      <c r="B12" t="s">
        <v>21</v>
      </c>
      <c r="C12" t="s">
        <v>22</v>
      </c>
      <c r="D12" s="1">
        <v>1785</v>
      </c>
      <c r="E12">
        <v>462</v>
      </c>
      <c r="F12">
        <v>13</v>
      </c>
      <c r="G12" s="2">
        <v>6075</v>
      </c>
      <c r="H12" s="1">
        <v>-4290</v>
      </c>
      <c r="I12" s="3">
        <f t="shared" si="0"/>
        <v>-2.403361344537815</v>
      </c>
      <c r="N12" t="s">
        <v>31</v>
      </c>
      <c r="O12" t="s">
        <v>10</v>
      </c>
      <c r="P12" t="s">
        <v>32</v>
      </c>
      <c r="Q12" s="1">
        <v>3983</v>
      </c>
      <c r="R12">
        <v>144</v>
      </c>
      <c r="S12">
        <v>3</v>
      </c>
      <c r="T12">
        <v>448</v>
      </c>
      <c r="U12" s="1">
        <v>3535</v>
      </c>
      <c r="V12" s="3">
        <v>0.88752196836555364</v>
      </c>
      <c r="Y12" t="s">
        <v>17</v>
      </c>
      <c r="Z12" t="s">
        <v>13</v>
      </c>
      <c r="AA12" t="s">
        <v>41</v>
      </c>
      <c r="AB12" s="1">
        <v>2114</v>
      </c>
      <c r="AC12">
        <v>186</v>
      </c>
      <c r="AD12">
        <v>12</v>
      </c>
      <c r="AE12" s="2">
        <v>2182</v>
      </c>
      <c r="AF12" s="1">
        <v>-68</v>
      </c>
      <c r="AG12" s="3">
        <v>-3.2166508987701042E-2</v>
      </c>
    </row>
    <row r="13" spans="1:33" x14ac:dyDescent="0.25">
      <c r="A13" t="s">
        <v>31</v>
      </c>
      <c r="B13" t="s">
        <v>10</v>
      </c>
      <c r="C13" t="s">
        <v>32</v>
      </c>
      <c r="D13" s="1">
        <v>3983</v>
      </c>
      <c r="E13">
        <v>144</v>
      </c>
      <c r="F13">
        <v>3</v>
      </c>
      <c r="G13">
        <v>448</v>
      </c>
      <c r="H13" s="1">
        <v>3535</v>
      </c>
      <c r="I13" s="3">
        <f t="shared" si="0"/>
        <v>0.88752196836555364</v>
      </c>
      <c r="N13" t="s">
        <v>15</v>
      </c>
      <c r="O13" t="s">
        <v>24</v>
      </c>
      <c r="P13" t="s">
        <v>33</v>
      </c>
      <c r="Q13" s="1">
        <v>2646</v>
      </c>
      <c r="R13">
        <v>120</v>
      </c>
      <c r="S13">
        <v>9</v>
      </c>
      <c r="T13" s="2">
        <v>1055</v>
      </c>
      <c r="U13" s="1">
        <v>1591</v>
      </c>
      <c r="V13" s="3">
        <v>0.6012849584278156</v>
      </c>
      <c r="Y13" t="s">
        <v>31</v>
      </c>
      <c r="Z13" t="s">
        <v>21</v>
      </c>
      <c r="AA13" t="s">
        <v>33</v>
      </c>
      <c r="AB13" s="1">
        <v>21</v>
      </c>
      <c r="AC13">
        <v>168</v>
      </c>
      <c r="AD13">
        <v>9</v>
      </c>
      <c r="AE13" s="2">
        <v>1477</v>
      </c>
      <c r="AF13" s="1">
        <v>-1456</v>
      </c>
      <c r="AG13" s="3">
        <v>-69.333333333333329</v>
      </c>
    </row>
    <row r="14" spans="1:33" x14ac:dyDescent="0.25">
      <c r="A14" t="s">
        <v>15</v>
      </c>
      <c r="B14" t="s">
        <v>24</v>
      </c>
      <c r="C14" t="s">
        <v>33</v>
      </c>
      <c r="D14" s="1">
        <v>2646</v>
      </c>
      <c r="E14">
        <v>120</v>
      </c>
      <c r="F14">
        <v>9</v>
      </c>
      <c r="G14" s="2">
        <v>1055</v>
      </c>
      <c r="H14" s="1">
        <v>1591</v>
      </c>
      <c r="I14" s="3">
        <f t="shared" si="0"/>
        <v>0.6012849584278156</v>
      </c>
      <c r="N14" t="s">
        <v>31</v>
      </c>
      <c r="O14" t="s">
        <v>13</v>
      </c>
      <c r="P14" t="s">
        <v>36</v>
      </c>
      <c r="Q14" s="1">
        <v>2114</v>
      </c>
      <c r="R14">
        <v>66</v>
      </c>
      <c r="S14">
        <v>7</v>
      </c>
      <c r="T14">
        <v>473</v>
      </c>
      <c r="U14" s="1">
        <v>1641</v>
      </c>
      <c r="V14" s="3">
        <v>0.77625354777672662</v>
      </c>
      <c r="Y14" t="s">
        <v>39</v>
      </c>
      <c r="Z14" t="s">
        <v>13</v>
      </c>
      <c r="AA14" t="s">
        <v>37</v>
      </c>
      <c r="AB14" s="1">
        <v>1974</v>
      </c>
      <c r="AC14">
        <v>195</v>
      </c>
      <c r="AD14">
        <v>11</v>
      </c>
      <c r="AE14" s="2">
        <v>2071</v>
      </c>
      <c r="AF14" s="1">
        <v>-97</v>
      </c>
      <c r="AG14" s="3">
        <v>-4.9138804457953392E-2</v>
      </c>
    </row>
    <row r="15" spans="1:33" x14ac:dyDescent="0.25">
      <c r="A15" t="s">
        <v>30</v>
      </c>
      <c r="B15" t="s">
        <v>34</v>
      </c>
      <c r="C15" t="s">
        <v>35</v>
      </c>
      <c r="D15" s="1">
        <v>252</v>
      </c>
      <c r="E15">
        <v>54</v>
      </c>
      <c r="F15">
        <v>9</v>
      </c>
      <c r="G15">
        <v>504</v>
      </c>
      <c r="H15" s="1">
        <v>-252</v>
      </c>
      <c r="I15" s="3">
        <f t="shared" si="0"/>
        <v>-1</v>
      </c>
      <c r="N15" t="s">
        <v>20</v>
      </c>
      <c r="O15" t="s">
        <v>10</v>
      </c>
      <c r="P15" t="s">
        <v>25</v>
      </c>
      <c r="Q15" s="1">
        <v>7693</v>
      </c>
      <c r="R15">
        <v>87</v>
      </c>
      <c r="S15">
        <v>6</v>
      </c>
      <c r="T15">
        <v>504</v>
      </c>
      <c r="U15" s="1">
        <v>7189</v>
      </c>
      <c r="V15" s="3">
        <v>0.93448589626933576</v>
      </c>
      <c r="Y15" t="s">
        <v>20</v>
      </c>
      <c r="Z15" t="s">
        <v>24</v>
      </c>
      <c r="AA15" t="s">
        <v>43</v>
      </c>
      <c r="AB15" s="1">
        <v>1134</v>
      </c>
      <c r="AC15">
        <v>282</v>
      </c>
      <c r="AD15">
        <v>17</v>
      </c>
      <c r="AE15" s="2">
        <v>4718</v>
      </c>
      <c r="AF15" s="1">
        <v>-3584</v>
      </c>
      <c r="AG15" s="3">
        <v>-3.1604938271604937</v>
      </c>
    </row>
    <row r="16" spans="1:33" x14ac:dyDescent="0.25">
      <c r="A16" t="s">
        <v>31</v>
      </c>
      <c r="B16" t="s">
        <v>13</v>
      </c>
      <c r="C16" t="s">
        <v>22</v>
      </c>
      <c r="D16" s="1">
        <v>2464</v>
      </c>
      <c r="E16">
        <v>234</v>
      </c>
      <c r="F16">
        <v>13</v>
      </c>
      <c r="G16" s="2">
        <v>3077</v>
      </c>
      <c r="H16" s="1">
        <v>-613</v>
      </c>
      <c r="I16" s="3">
        <f t="shared" si="0"/>
        <v>-0.24878246753246752</v>
      </c>
      <c r="N16" t="s">
        <v>29</v>
      </c>
      <c r="O16" t="s">
        <v>34</v>
      </c>
      <c r="P16" t="s">
        <v>37</v>
      </c>
      <c r="Q16" s="1">
        <v>15610</v>
      </c>
      <c r="R16">
        <v>339</v>
      </c>
      <c r="S16">
        <v>11</v>
      </c>
      <c r="T16" s="2">
        <v>3600</v>
      </c>
      <c r="U16" s="1">
        <v>12010</v>
      </c>
      <c r="V16" s="3">
        <v>0.76937860345932096</v>
      </c>
      <c r="Y16" t="s">
        <v>20</v>
      </c>
      <c r="Z16" t="s">
        <v>10</v>
      </c>
      <c r="AA16" t="s">
        <v>33</v>
      </c>
      <c r="AB16" s="1">
        <v>1904</v>
      </c>
      <c r="AC16">
        <v>405</v>
      </c>
      <c r="AD16">
        <v>9</v>
      </c>
      <c r="AE16" s="2">
        <v>3560</v>
      </c>
      <c r="AF16" s="1">
        <v>-1656</v>
      </c>
      <c r="AG16" s="3">
        <v>-0.86974789915966388</v>
      </c>
    </row>
    <row r="17" spans="1:33" x14ac:dyDescent="0.25">
      <c r="A17" t="s">
        <v>31</v>
      </c>
      <c r="B17" t="s">
        <v>13</v>
      </c>
      <c r="C17" t="s">
        <v>36</v>
      </c>
      <c r="D17" s="1">
        <v>2114</v>
      </c>
      <c r="E17">
        <v>66</v>
      </c>
      <c r="F17">
        <v>7</v>
      </c>
      <c r="G17">
        <v>473</v>
      </c>
      <c r="H17" s="1">
        <v>1641</v>
      </c>
      <c r="I17" s="3">
        <f t="shared" si="0"/>
        <v>0.77625354777672662</v>
      </c>
      <c r="N17" t="s">
        <v>30</v>
      </c>
      <c r="O17" t="s">
        <v>21</v>
      </c>
      <c r="P17" t="s">
        <v>37</v>
      </c>
      <c r="Q17" s="1">
        <v>9443</v>
      </c>
      <c r="R17">
        <v>162</v>
      </c>
      <c r="S17">
        <v>11</v>
      </c>
      <c r="T17" s="2">
        <v>1720</v>
      </c>
      <c r="U17" s="1">
        <v>7723</v>
      </c>
      <c r="V17" s="3">
        <v>0.81785449539341315</v>
      </c>
      <c r="Y17" t="s">
        <v>31</v>
      </c>
      <c r="Z17" t="s">
        <v>13</v>
      </c>
      <c r="AA17" t="s">
        <v>28</v>
      </c>
      <c r="AB17" s="1">
        <v>2415</v>
      </c>
      <c r="AC17">
        <v>255</v>
      </c>
      <c r="AD17">
        <v>12</v>
      </c>
      <c r="AE17" s="2">
        <v>2984</v>
      </c>
      <c r="AF17" s="1">
        <v>-569</v>
      </c>
      <c r="AG17" s="3">
        <v>-0.23561076604554865</v>
      </c>
    </row>
    <row r="18" spans="1:33" x14ac:dyDescent="0.25">
      <c r="A18" t="s">
        <v>20</v>
      </c>
      <c r="B18" t="s">
        <v>10</v>
      </c>
      <c r="C18" t="s">
        <v>25</v>
      </c>
      <c r="D18" s="1">
        <v>7693</v>
      </c>
      <c r="E18">
        <v>87</v>
      </c>
      <c r="F18">
        <v>6</v>
      </c>
      <c r="G18">
        <v>504</v>
      </c>
      <c r="H18" s="1">
        <v>7189</v>
      </c>
      <c r="I18" s="3">
        <f t="shared" si="0"/>
        <v>0.93448589626933576</v>
      </c>
      <c r="N18" t="s">
        <v>15</v>
      </c>
      <c r="O18" t="s">
        <v>34</v>
      </c>
      <c r="P18" t="s">
        <v>38</v>
      </c>
      <c r="Q18" s="1">
        <v>8155</v>
      </c>
      <c r="R18">
        <v>90</v>
      </c>
      <c r="S18">
        <v>6</v>
      </c>
      <c r="T18">
        <v>584</v>
      </c>
      <c r="U18" s="1">
        <v>7571</v>
      </c>
      <c r="V18" s="3">
        <v>0.92838749233599016</v>
      </c>
      <c r="Y18" t="s">
        <v>20</v>
      </c>
      <c r="Z18" t="s">
        <v>18</v>
      </c>
      <c r="AA18" t="s">
        <v>45</v>
      </c>
      <c r="AB18" s="1">
        <v>497</v>
      </c>
      <c r="AC18">
        <v>63</v>
      </c>
      <c r="AD18">
        <v>9</v>
      </c>
      <c r="AE18">
        <v>567</v>
      </c>
      <c r="AF18" s="1">
        <v>-70</v>
      </c>
      <c r="AG18" s="3">
        <v>-0.14084507042253522</v>
      </c>
    </row>
    <row r="19" spans="1:33" x14ac:dyDescent="0.25">
      <c r="A19" t="s">
        <v>29</v>
      </c>
      <c r="B19" t="s">
        <v>34</v>
      </c>
      <c r="C19" t="s">
        <v>37</v>
      </c>
      <c r="D19" s="1">
        <v>15610</v>
      </c>
      <c r="E19">
        <v>339</v>
      </c>
      <c r="F19">
        <v>11</v>
      </c>
      <c r="G19" s="2">
        <v>3600</v>
      </c>
      <c r="H19" s="1">
        <v>12010</v>
      </c>
      <c r="I19" s="3">
        <f t="shared" si="0"/>
        <v>0.76937860345932096</v>
      </c>
      <c r="N19" t="s">
        <v>12</v>
      </c>
      <c r="O19" t="s">
        <v>24</v>
      </c>
      <c r="P19" t="s">
        <v>38</v>
      </c>
      <c r="Q19" s="1">
        <v>1701</v>
      </c>
      <c r="R19">
        <v>234</v>
      </c>
      <c r="S19">
        <v>6</v>
      </c>
      <c r="T19" s="2">
        <v>1519</v>
      </c>
      <c r="U19" s="1">
        <v>182</v>
      </c>
      <c r="V19" s="3">
        <v>0.10699588477366255</v>
      </c>
      <c r="Y19" t="s">
        <v>15</v>
      </c>
      <c r="Z19" t="s">
        <v>10</v>
      </c>
      <c r="AA19" t="s">
        <v>36</v>
      </c>
      <c r="AB19" s="1">
        <v>1085</v>
      </c>
      <c r="AC19">
        <v>273</v>
      </c>
      <c r="AD19">
        <v>7</v>
      </c>
      <c r="AE19" s="2">
        <v>1955</v>
      </c>
      <c r="AF19" s="1">
        <v>-870</v>
      </c>
      <c r="AG19" s="3">
        <v>-0.8018433179723502</v>
      </c>
    </row>
    <row r="20" spans="1:33" x14ac:dyDescent="0.25">
      <c r="A20" t="s">
        <v>17</v>
      </c>
      <c r="B20" t="s">
        <v>34</v>
      </c>
      <c r="C20" t="s">
        <v>26</v>
      </c>
      <c r="D20" s="1">
        <v>336</v>
      </c>
      <c r="E20">
        <v>144</v>
      </c>
      <c r="F20">
        <v>10</v>
      </c>
      <c r="G20" s="2">
        <v>1407</v>
      </c>
      <c r="H20" s="1">
        <v>-1071</v>
      </c>
      <c r="I20" s="3">
        <f t="shared" si="0"/>
        <v>-3.1875</v>
      </c>
      <c r="N20" t="s">
        <v>39</v>
      </c>
      <c r="O20" t="s">
        <v>24</v>
      </c>
      <c r="P20" t="s">
        <v>26</v>
      </c>
      <c r="Q20" s="1">
        <v>2205</v>
      </c>
      <c r="R20">
        <v>141</v>
      </c>
      <c r="S20">
        <v>10</v>
      </c>
      <c r="T20" s="2">
        <v>1378</v>
      </c>
      <c r="U20" s="1">
        <v>827</v>
      </c>
      <c r="V20" s="3">
        <v>0.3750566893424036</v>
      </c>
      <c r="Y20" t="s">
        <v>29</v>
      </c>
      <c r="Z20" t="s">
        <v>10</v>
      </c>
      <c r="AA20" t="s">
        <v>25</v>
      </c>
      <c r="AB20" s="1">
        <v>182</v>
      </c>
      <c r="AC20">
        <v>48</v>
      </c>
      <c r="AD20">
        <v>6</v>
      </c>
      <c r="AE20">
        <v>278</v>
      </c>
      <c r="AF20" s="1">
        <v>-96</v>
      </c>
      <c r="AG20" s="3">
        <v>-0.52747252747252749</v>
      </c>
    </row>
    <row r="21" spans="1:33" x14ac:dyDescent="0.25">
      <c r="A21" t="s">
        <v>30</v>
      </c>
      <c r="B21" t="s">
        <v>21</v>
      </c>
      <c r="C21" t="s">
        <v>37</v>
      </c>
      <c r="D21" s="1">
        <v>9443</v>
      </c>
      <c r="E21">
        <v>162</v>
      </c>
      <c r="F21">
        <v>11</v>
      </c>
      <c r="G21" s="2">
        <v>1720</v>
      </c>
      <c r="H21" s="1">
        <v>7723</v>
      </c>
      <c r="I21" s="3">
        <f t="shared" si="0"/>
        <v>0.81785449539341315</v>
      </c>
      <c r="N21" t="s">
        <v>12</v>
      </c>
      <c r="O21" t="s">
        <v>10</v>
      </c>
      <c r="P21" t="s">
        <v>40</v>
      </c>
      <c r="Q21" s="1">
        <v>1771</v>
      </c>
      <c r="R21">
        <v>204</v>
      </c>
      <c r="S21">
        <v>8</v>
      </c>
      <c r="T21" s="2">
        <v>1559</v>
      </c>
      <c r="U21" s="1">
        <v>212</v>
      </c>
      <c r="V21" s="3">
        <v>0.11970638057594579</v>
      </c>
      <c r="Y21" t="s">
        <v>29</v>
      </c>
      <c r="Z21" t="s">
        <v>34</v>
      </c>
      <c r="AA21" t="s">
        <v>40</v>
      </c>
      <c r="AB21" s="1">
        <v>861</v>
      </c>
      <c r="AC21">
        <v>195</v>
      </c>
      <c r="AD21">
        <v>8</v>
      </c>
      <c r="AE21" s="2">
        <v>1490</v>
      </c>
      <c r="AF21" s="1">
        <v>-629</v>
      </c>
      <c r="AG21" s="3">
        <v>-0.7305458768873403</v>
      </c>
    </row>
    <row r="22" spans="1:33" x14ac:dyDescent="0.25">
      <c r="A22" t="s">
        <v>15</v>
      </c>
      <c r="B22" t="s">
        <v>34</v>
      </c>
      <c r="C22" t="s">
        <v>38</v>
      </c>
      <c r="D22" s="1">
        <v>8155</v>
      </c>
      <c r="E22">
        <v>90</v>
      </c>
      <c r="F22">
        <v>6</v>
      </c>
      <c r="G22">
        <v>584</v>
      </c>
      <c r="H22" s="1">
        <v>7571</v>
      </c>
      <c r="I22" s="3">
        <f t="shared" si="0"/>
        <v>0.92838749233599016</v>
      </c>
      <c r="N22" t="s">
        <v>17</v>
      </c>
      <c r="O22" t="s">
        <v>18</v>
      </c>
      <c r="P22" t="s">
        <v>35</v>
      </c>
      <c r="Q22" s="1">
        <v>10311</v>
      </c>
      <c r="R22">
        <v>231</v>
      </c>
      <c r="S22">
        <v>9</v>
      </c>
      <c r="T22" s="2">
        <v>2155</v>
      </c>
      <c r="U22" s="1">
        <v>8156</v>
      </c>
      <c r="V22" s="3">
        <v>0.79099990301619627</v>
      </c>
      <c r="Y22" t="s">
        <v>39</v>
      </c>
      <c r="Z22" t="s">
        <v>24</v>
      </c>
      <c r="AA22" t="s">
        <v>28</v>
      </c>
      <c r="AB22" s="1">
        <v>5586</v>
      </c>
      <c r="AC22">
        <v>525</v>
      </c>
      <c r="AD22">
        <v>12</v>
      </c>
      <c r="AE22" s="2">
        <v>6143</v>
      </c>
      <c r="AF22" s="1">
        <v>-557</v>
      </c>
      <c r="AG22" s="3">
        <v>-9.9713569638381669E-2</v>
      </c>
    </row>
    <row r="23" spans="1:33" x14ac:dyDescent="0.25">
      <c r="A23" t="s">
        <v>12</v>
      </c>
      <c r="B23" t="s">
        <v>24</v>
      </c>
      <c r="C23" t="s">
        <v>38</v>
      </c>
      <c r="D23" s="1">
        <v>1701</v>
      </c>
      <c r="E23">
        <v>234</v>
      </c>
      <c r="F23">
        <v>6</v>
      </c>
      <c r="G23" s="2">
        <v>1519</v>
      </c>
      <c r="H23" s="1">
        <v>182</v>
      </c>
      <c r="I23" s="3">
        <f t="shared" si="0"/>
        <v>0.10699588477366255</v>
      </c>
      <c r="N23" t="s">
        <v>29</v>
      </c>
      <c r="O23" t="s">
        <v>18</v>
      </c>
      <c r="P23" t="s">
        <v>38</v>
      </c>
      <c r="Q23" s="1">
        <v>6314</v>
      </c>
      <c r="R23">
        <v>15</v>
      </c>
      <c r="S23">
        <v>6</v>
      </c>
      <c r="T23">
        <v>97</v>
      </c>
      <c r="U23" s="1">
        <v>6217</v>
      </c>
      <c r="V23" s="3">
        <v>0.9846373139056066</v>
      </c>
      <c r="Y23" t="s">
        <v>17</v>
      </c>
      <c r="Z23" t="s">
        <v>18</v>
      </c>
      <c r="AA23" t="s">
        <v>44</v>
      </c>
      <c r="AB23" s="1">
        <v>854</v>
      </c>
      <c r="AC23">
        <v>309</v>
      </c>
      <c r="AD23">
        <v>10</v>
      </c>
      <c r="AE23" s="2">
        <v>3207</v>
      </c>
      <c r="AF23" s="1">
        <v>-2353</v>
      </c>
      <c r="AG23" s="3">
        <v>-2.7552693208430914</v>
      </c>
    </row>
    <row r="24" spans="1:33" x14ac:dyDescent="0.25">
      <c r="A24" t="s">
        <v>39</v>
      </c>
      <c r="B24" t="s">
        <v>24</v>
      </c>
      <c r="C24" t="s">
        <v>26</v>
      </c>
      <c r="D24" s="1">
        <v>2205</v>
      </c>
      <c r="E24">
        <v>141</v>
      </c>
      <c r="F24">
        <v>10</v>
      </c>
      <c r="G24" s="2">
        <v>1378</v>
      </c>
      <c r="H24" s="1">
        <v>827</v>
      </c>
      <c r="I24" s="3">
        <f t="shared" si="0"/>
        <v>0.3750566893424036</v>
      </c>
      <c r="N24" t="s">
        <v>39</v>
      </c>
      <c r="O24" t="s">
        <v>10</v>
      </c>
      <c r="P24" t="s">
        <v>38</v>
      </c>
      <c r="Q24" s="1">
        <v>4683</v>
      </c>
      <c r="R24">
        <v>30</v>
      </c>
      <c r="S24">
        <v>6</v>
      </c>
      <c r="T24">
        <v>195</v>
      </c>
      <c r="U24" s="1">
        <v>4488</v>
      </c>
      <c r="V24" s="3">
        <v>0.95836002562459965</v>
      </c>
      <c r="Y24" t="s">
        <v>15</v>
      </c>
      <c r="Z24" t="s">
        <v>13</v>
      </c>
      <c r="AA24" t="s">
        <v>46</v>
      </c>
      <c r="AB24" s="1">
        <v>98</v>
      </c>
      <c r="AC24">
        <v>159</v>
      </c>
      <c r="AD24">
        <v>6</v>
      </c>
      <c r="AE24">
        <v>890</v>
      </c>
      <c r="AF24" s="1">
        <v>-792</v>
      </c>
      <c r="AG24" s="3">
        <v>-8.0816326530612237</v>
      </c>
    </row>
    <row r="25" spans="1:33" x14ac:dyDescent="0.25">
      <c r="A25" t="s">
        <v>12</v>
      </c>
      <c r="B25" t="s">
        <v>10</v>
      </c>
      <c r="C25" t="s">
        <v>40</v>
      </c>
      <c r="D25" s="1">
        <v>1771</v>
      </c>
      <c r="E25">
        <v>204</v>
      </c>
      <c r="F25">
        <v>8</v>
      </c>
      <c r="G25" s="2">
        <v>1559</v>
      </c>
      <c r="H25" s="1">
        <v>212</v>
      </c>
      <c r="I25" s="3">
        <f t="shared" si="0"/>
        <v>0.11970638057594579</v>
      </c>
      <c r="N25" t="s">
        <v>17</v>
      </c>
      <c r="O25" t="s">
        <v>10</v>
      </c>
      <c r="P25" t="s">
        <v>42</v>
      </c>
      <c r="Q25" s="1">
        <v>6398</v>
      </c>
      <c r="R25">
        <v>102</v>
      </c>
      <c r="S25">
        <v>5</v>
      </c>
      <c r="T25">
        <v>507</v>
      </c>
      <c r="U25" s="1">
        <v>5891</v>
      </c>
      <c r="V25" s="3">
        <v>0.92075648640200058</v>
      </c>
      <c r="Y25" t="s">
        <v>30</v>
      </c>
      <c r="Z25" t="s">
        <v>24</v>
      </c>
      <c r="AA25" t="s">
        <v>35</v>
      </c>
      <c r="AB25" s="1">
        <v>56</v>
      </c>
      <c r="AC25">
        <v>51</v>
      </c>
      <c r="AD25">
        <v>9</v>
      </c>
      <c r="AE25">
        <v>476</v>
      </c>
      <c r="AF25" s="1">
        <v>-420</v>
      </c>
      <c r="AG25" s="3">
        <v>-7.5</v>
      </c>
    </row>
    <row r="26" spans="1:33" x14ac:dyDescent="0.25">
      <c r="A26" t="s">
        <v>17</v>
      </c>
      <c r="B26" t="s">
        <v>13</v>
      </c>
      <c r="C26" t="s">
        <v>41</v>
      </c>
      <c r="D26" s="1">
        <v>2114</v>
      </c>
      <c r="E26">
        <v>186</v>
      </c>
      <c r="F26">
        <v>12</v>
      </c>
      <c r="G26" s="2">
        <v>2182</v>
      </c>
      <c r="H26" s="1">
        <v>-68</v>
      </c>
      <c r="I26" s="3">
        <f t="shared" si="0"/>
        <v>-3.2166508987701042E-2</v>
      </c>
      <c r="N26" t="s">
        <v>30</v>
      </c>
      <c r="O26" t="s">
        <v>13</v>
      </c>
      <c r="P26" t="s">
        <v>40</v>
      </c>
      <c r="Q26" s="1">
        <v>553</v>
      </c>
      <c r="R26">
        <v>15</v>
      </c>
      <c r="S26">
        <v>8</v>
      </c>
      <c r="T26">
        <v>115</v>
      </c>
      <c r="U26" s="1">
        <v>438</v>
      </c>
      <c r="V26" s="3">
        <v>0.79204339963833637</v>
      </c>
      <c r="Y26" t="s">
        <v>39</v>
      </c>
      <c r="Z26" t="s">
        <v>24</v>
      </c>
      <c r="AA26" t="s">
        <v>35</v>
      </c>
      <c r="AB26" s="1">
        <v>63</v>
      </c>
      <c r="AC26">
        <v>123</v>
      </c>
      <c r="AD26">
        <v>9</v>
      </c>
      <c r="AE26" s="2">
        <v>1148</v>
      </c>
      <c r="AF26" s="1">
        <v>-1085</v>
      </c>
      <c r="AG26" s="3">
        <v>-17.222222222222221</v>
      </c>
    </row>
    <row r="27" spans="1:33" x14ac:dyDescent="0.25">
      <c r="A27" t="s">
        <v>17</v>
      </c>
      <c r="B27" t="s">
        <v>18</v>
      </c>
      <c r="C27" t="s">
        <v>35</v>
      </c>
      <c r="D27" s="1">
        <v>10311</v>
      </c>
      <c r="E27">
        <v>231</v>
      </c>
      <c r="F27">
        <v>9</v>
      </c>
      <c r="G27" s="2">
        <v>2155</v>
      </c>
      <c r="H27" s="1">
        <v>8156</v>
      </c>
      <c r="I27" s="3">
        <f t="shared" si="0"/>
        <v>0.79099990301619627</v>
      </c>
      <c r="N27" t="s">
        <v>12</v>
      </c>
      <c r="O27" t="s">
        <v>21</v>
      </c>
      <c r="P27" t="s">
        <v>11</v>
      </c>
      <c r="Q27" s="1">
        <v>7021</v>
      </c>
      <c r="R27">
        <v>183</v>
      </c>
      <c r="S27">
        <v>14</v>
      </c>
      <c r="T27" s="2">
        <v>2652</v>
      </c>
      <c r="U27" s="1">
        <v>4369</v>
      </c>
      <c r="V27" s="3">
        <v>0.62227602905569013</v>
      </c>
      <c r="Y27" t="s">
        <v>31</v>
      </c>
      <c r="Z27" t="s">
        <v>18</v>
      </c>
      <c r="AA27" t="s">
        <v>44</v>
      </c>
      <c r="AB27" s="1">
        <v>973</v>
      </c>
      <c r="AC27">
        <v>162</v>
      </c>
      <c r="AD27">
        <v>10</v>
      </c>
      <c r="AE27" s="2">
        <v>1682</v>
      </c>
      <c r="AF27" s="1">
        <v>-709</v>
      </c>
      <c r="AG27" s="3">
        <v>-0.72867420349434742</v>
      </c>
    </row>
    <row r="28" spans="1:33" x14ac:dyDescent="0.25">
      <c r="A28" t="s">
        <v>31</v>
      </c>
      <c r="B28" t="s">
        <v>21</v>
      </c>
      <c r="C28" t="s">
        <v>33</v>
      </c>
      <c r="D28" s="1">
        <v>21</v>
      </c>
      <c r="E28">
        <v>168</v>
      </c>
      <c r="F28">
        <v>9</v>
      </c>
      <c r="G28" s="2">
        <v>1477</v>
      </c>
      <c r="H28" s="1">
        <v>-1456</v>
      </c>
      <c r="I28" s="3">
        <f t="shared" si="0"/>
        <v>-69.333333333333329</v>
      </c>
      <c r="N28" t="s">
        <v>9</v>
      </c>
      <c r="O28" t="s">
        <v>21</v>
      </c>
      <c r="P28" t="s">
        <v>26</v>
      </c>
      <c r="Q28" s="1">
        <v>5817</v>
      </c>
      <c r="R28">
        <v>12</v>
      </c>
      <c r="S28">
        <v>10</v>
      </c>
      <c r="T28">
        <v>117</v>
      </c>
      <c r="U28" s="1">
        <v>5700</v>
      </c>
      <c r="V28" s="3">
        <v>0.97988653945332649</v>
      </c>
      <c r="Y28" t="s">
        <v>39</v>
      </c>
      <c r="Z28" t="s">
        <v>13</v>
      </c>
      <c r="AA28" t="s">
        <v>45</v>
      </c>
      <c r="AB28" s="1">
        <v>567</v>
      </c>
      <c r="AC28">
        <v>228</v>
      </c>
      <c r="AD28">
        <v>9</v>
      </c>
      <c r="AE28" s="2">
        <v>2052</v>
      </c>
      <c r="AF28" s="1">
        <v>-1485</v>
      </c>
      <c r="AG28" s="3">
        <v>-2.6190476190476191</v>
      </c>
    </row>
    <row r="29" spans="1:33" x14ac:dyDescent="0.25">
      <c r="A29" t="s">
        <v>39</v>
      </c>
      <c r="B29" t="s">
        <v>13</v>
      </c>
      <c r="C29" t="s">
        <v>37</v>
      </c>
      <c r="D29" s="1">
        <v>1974</v>
      </c>
      <c r="E29">
        <v>195</v>
      </c>
      <c r="F29">
        <v>11</v>
      </c>
      <c r="G29" s="2">
        <v>2071</v>
      </c>
      <c r="H29" s="1">
        <v>-97</v>
      </c>
      <c r="I29" s="3">
        <f t="shared" si="0"/>
        <v>-4.9138804457953392E-2</v>
      </c>
      <c r="N29" t="s">
        <v>17</v>
      </c>
      <c r="O29" t="s">
        <v>21</v>
      </c>
      <c r="P29" t="s">
        <v>28</v>
      </c>
      <c r="Q29" s="1">
        <v>3976</v>
      </c>
      <c r="R29">
        <v>72</v>
      </c>
      <c r="S29">
        <v>12</v>
      </c>
      <c r="T29">
        <v>842</v>
      </c>
      <c r="U29" s="1">
        <v>3134</v>
      </c>
      <c r="V29" s="3">
        <v>0.7882293762575453</v>
      </c>
      <c r="Y29" t="s">
        <v>20</v>
      </c>
      <c r="Z29" t="s">
        <v>24</v>
      </c>
      <c r="AA29" t="s">
        <v>22</v>
      </c>
      <c r="AB29" s="1">
        <v>469</v>
      </c>
      <c r="AC29">
        <v>75</v>
      </c>
      <c r="AD29">
        <v>13</v>
      </c>
      <c r="AE29">
        <v>986</v>
      </c>
      <c r="AF29" s="1">
        <v>-517</v>
      </c>
      <c r="AG29" s="3">
        <v>-1.1023454157782515</v>
      </c>
    </row>
    <row r="30" spans="1:33" x14ac:dyDescent="0.25">
      <c r="A30" t="s">
        <v>29</v>
      </c>
      <c r="B30" t="s">
        <v>18</v>
      </c>
      <c r="C30" t="s">
        <v>38</v>
      </c>
      <c r="D30" s="1">
        <v>6314</v>
      </c>
      <c r="E30">
        <v>15</v>
      </c>
      <c r="F30">
        <v>6</v>
      </c>
      <c r="G30">
        <v>97</v>
      </c>
      <c r="H30" s="1">
        <v>6217</v>
      </c>
      <c r="I30" s="3">
        <f t="shared" si="0"/>
        <v>0.9846373139056066</v>
      </c>
      <c r="N30" t="s">
        <v>30</v>
      </c>
      <c r="O30" t="s">
        <v>21</v>
      </c>
      <c r="P30" t="s">
        <v>44</v>
      </c>
      <c r="Q30" s="1">
        <v>6027</v>
      </c>
      <c r="R30">
        <v>144</v>
      </c>
      <c r="S30">
        <v>10</v>
      </c>
      <c r="T30" s="2">
        <v>1495</v>
      </c>
      <c r="U30" s="1">
        <v>4532</v>
      </c>
      <c r="V30" s="3">
        <v>0.75194956031192961</v>
      </c>
      <c r="Y30" t="s">
        <v>30</v>
      </c>
      <c r="Z30" t="s">
        <v>18</v>
      </c>
      <c r="AA30" t="s">
        <v>43</v>
      </c>
      <c r="AB30" s="1">
        <v>798</v>
      </c>
      <c r="AC30">
        <v>519</v>
      </c>
      <c r="AD30">
        <v>17</v>
      </c>
      <c r="AE30" s="2">
        <v>8683</v>
      </c>
      <c r="AF30" s="1">
        <v>-7885</v>
      </c>
      <c r="AG30" s="3">
        <v>-9.8809523809523814</v>
      </c>
    </row>
    <row r="31" spans="1:33" x14ac:dyDescent="0.25">
      <c r="A31" t="s">
        <v>39</v>
      </c>
      <c r="B31" t="s">
        <v>10</v>
      </c>
      <c r="C31" t="s">
        <v>38</v>
      </c>
      <c r="D31" s="1">
        <v>4683</v>
      </c>
      <c r="E31">
        <v>30</v>
      </c>
      <c r="F31">
        <v>6</v>
      </c>
      <c r="G31">
        <v>195</v>
      </c>
      <c r="H31" s="1">
        <v>4488</v>
      </c>
      <c r="I31" s="3">
        <f t="shared" si="0"/>
        <v>0.95836002562459965</v>
      </c>
      <c r="N31" t="s">
        <v>27</v>
      </c>
      <c r="O31" t="s">
        <v>34</v>
      </c>
      <c r="P31" t="s">
        <v>14</v>
      </c>
      <c r="Q31" s="1">
        <v>3262</v>
      </c>
      <c r="R31">
        <v>75</v>
      </c>
      <c r="S31">
        <v>9</v>
      </c>
      <c r="T31">
        <v>649</v>
      </c>
      <c r="U31" s="1">
        <v>2613</v>
      </c>
      <c r="V31" s="3">
        <v>0.80104230533415077</v>
      </c>
      <c r="Y31" t="s">
        <v>20</v>
      </c>
      <c r="Z31" t="s">
        <v>34</v>
      </c>
      <c r="AA31" t="s">
        <v>16</v>
      </c>
      <c r="AB31" s="1">
        <v>525</v>
      </c>
      <c r="AC31">
        <v>48</v>
      </c>
      <c r="AD31">
        <v>12</v>
      </c>
      <c r="AE31">
        <v>570</v>
      </c>
      <c r="AF31" s="1">
        <v>-45</v>
      </c>
      <c r="AG31" s="3">
        <v>-8.5714285714285715E-2</v>
      </c>
    </row>
    <row r="32" spans="1:33" x14ac:dyDescent="0.25">
      <c r="A32" t="s">
        <v>17</v>
      </c>
      <c r="B32" t="s">
        <v>10</v>
      </c>
      <c r="C32" t="s">
        <v>42</v>
      </c>
      <c r="D32" s="1">
        <v>6398</v>
      </c>
      <c r="E32">
        <v>102</v>
      </c>
      <c r="F32">
        <v>5</v>
      </c>
      <c r="G32">
        <v>507</v>
      </c>
      <c r="H32" s="1">
        <v>5891</v>
      </c>
      <c r="I32" s="3">
        <f t="shared" si="0"/>
        <v>0.92075648640200058</v>
      </c>
      <c r="N32" t="s">
        <v>9</v>
      </c>
      <c r="O32" t="s">
        <v>34</v>
      </c>
      <c r="P32" t="s">
        <v>43</v>
      </c>
      <c r="Q32" s="1">
        <v>2289</v>
      </c>
      <c r="R32">
        <v>135</v>
      </c>
      <c r="S32">
        <v>17</v>
      </c>
      <c r="T32" s="2">
        <v>2259</v>
      </c>
      <c r="U32" s="1">
        <v>30</v>
      </c>
      <c r="V32" s="3">
        <v>1.310615989515072E-2</v>
      </c>
      <c r="Y32" t="s">
        <v>17</v>
      </c>
      <c r="Z32" t="s">
        <v>10</v>
      </c>
      <c r="AA32" t="s">
        <v>11</v>
      </c>
      <c r="AB32" s="1">
        <v>1526</v>
      </c>
      <c r="AC32">
        <v>240</v>
      </c>
      <c r="AD32">
        <v>14</v>
      </c>
      <c r="AE32" s="2">
        <v>3478</v>
      </c>
      <c r="AF32" s="1">
        <v>-1952</v>
      </c>
      <c r="AG32" s="3">
        <v>-1.2791612057667103</v>
      </c>
    </row>
    <row r="33" spans="1:33" x14ac:dyDescent="0.25">
      <c r="A33" t="s">
        <v>30</v>
      </c>
      <c r="B33" t="s">
        <v>13</v>
      </c>
      <c r="C33" t="s">
        <v>40</v>
      </c>
      <c r="D33" s="1">
        <v>553</v>
      </c>
      <c r="E33">
        <v>15</v>
      </c>
      <c r="F33">
        <v>8</v>
      </c>
      <c r="G33">
        <v>115</v>
      </c>
      <c r="H33" s="1">
        <v>438</v>
      </c>
      <c r="I33" s="3">
        <f t="shared" si="0"/>
        <v>0.79204339963833637</v>
      </c>
      <c r="N33" t="s">
        <v>29</v>
      </c>
      <c r="O33" t="s">
        <v>34</v>
      </c>
      <c r="P33" t="s">
        <v>43</v>
      </c>
      <c r="Q33" s="1">
        <v>6986</v>
      </c>
      <c r="R33">
        <v>21</v>
      </c>
      <c r="S33">
        <v>17</v>
      </c>
      <c r="T33">
        <v>351</v>
      </c>
      <c r="U33" s="1">
        <v>6635</v>
      </c>
      <c r="V33" s="3">
        <v>0.94975665616948179</v>
      </c>
      <c r="Y33" t="s">
        <v>17</v>
      </c>
      <c r="Z33" t="s">
        <v>13</v>
      </c>
      <c r="AA33" t="s">
        <v>43</v>
      </c>
      <c r="AB33" s="1">
        <v>847</v>
      </c>
      <c r="AC33">
        <v>129</v>
      </c>
      <c r="AD33">
        <v>17</v>
      </c>
      <c r="AE33" s="2">
        <v>2158</v>
      </c>
      <c r="AF33" s="1">
        <v>-1311</v>
      </c>
      <c r="AG33" s="3">
        <v>-1.5478158205430932</v>
      </c>
    </row>
    <row r="34" spans="1:33" x14ac:dyDescent="0.25">
      <c r="A34" t="s">
        <v>12</v>
      </c>
      <c r="B34" t="s">
        <v>21</v>
      </c>
      <c r="C34" t="s">
        <v>11</v>
      </c>
      <c r="D34" s="1">
        <v>7021</v>
      </c>
      <c r="E34">
        <v>183</v>
      </c>
      <c r="F34">
        <v>14</v>
      </c>
      <c r="G34" s="2">
        <v>2652</v>
      </c>
      <c r="H34" s="1">
        <v>4369</v>
      </c>
      <c r="I34" s="3">
        <f t="shared" si="0"/>
        <v>0.62227602905569013</v>
      </c>
      <c r="N34" t="s">
        <v>30</v>
      </c>
      <c r="O34" t="s">
        <v>24</v>
      </c>
      <c r="P34" t="s">
        <v>38</v>
      </c>
      <c r="Q34" s="1">
        <v>4417</v>
      </c>
      <c r="R34">
        <v>153</v>
      </c>
      <c r="S34">
        <v>6</v>
      </c>
      <c r="T34">
        <v>993</v>
      </c>
      <c r="U34" s="1">
        <v>3424</v>
      </c>
      <c r="V34" s="3">
        <v>0.77518677835635041</v>
      </c>
      <c r="Y34" t="s">
        <v>12</v>
      </c>
      <c r="Z34" t="s">
        <v>13</v>
      </c>
      <c r="AA34" t="s">
        <v>43</v>
      </c>
      <c r="AB34" s="1">
        <v>4753</v>
      </c>
      <c r="AC34">
        <v>300</v>
      </c>
      <c r="AD34">
        <v>17</v>
      </c>
      <c r="AE34" s="2">
        <v>5019</v>
      </c>
      <c r="AF34" s="1">
        <v>-266</v>
      </c>
      <c r="AG34" s="3">
        <v>-5.5964653902798235E-2</v>
      </c>
    </row>
    <row r="35" spans="1:33" x14ac:dyDescent="0.25">
      <c r="A35" t="s">
        <v>9</v>
      </c>
      <c r="B35" t="s">
        <v>21</v>
      </c>
      <c r="C35" t="s">
        <v>26</v>
      </c>
      <c r="D35" s="1">
        <v>5817</v>
      </c>
      <c r="E35">
        <v>12</v>
      </c>
      <c r="F35">
        <v>10</v>
      </c>
      <c r="G35">
        <v>117</v>
      </c>
      <c r="H35" s="1">
        <v>5700</v>
      </c>
      <c r="I35" s="3">
        <f t="shared" si="0"/>
        <v>0.97988653945332649</v>
      </c>
      <c r="N35" t="s">
        <v>20</v>
      </c>
      <c r="O35" t="s">
        <v>34</v>
      </c>
      <c r="P35" t="s">
        <v>41</v>
      </c>
      <c r="Q35" s="1">
        <v>1442</v>
      </c>
      <c r="R35">
        <v>15</v>
      </c>
      <c r="S35">
        <v>12</v>
      </c>
      <c r="T35">
        <v>176</v>
      </c>
      <c r="U35" s="1">
        <v>1266</v>
      </c>
      <c r="V35" s="3">
        <v>0.87794729542302363</v>
      </c>
      <c r="Y35" t="s">
        <v>20</v>
      </c>
      <c r="Z35" t="s">
        <v>24</v>
      </c>
      <c r="AA35" t="s">
        <v>23</v>
      </c>
      <c r="AB35" s="1">
        <v>959</v>
      </c>
      <c r="AC35">
        <v>135</v>
      </c>
      <c r="AD35">
        <v>12</v>
      </c>
      <c r="AE35" s="2">
        <v>1670</v>
      </c>
      <c r="AF35" s="1">
        <v>-711</v>
      </c>
      <c r="AG35" s="3">
        <v>-0.7413972888425443</v>
      </c>
    </row>
    <row r="36" spans="1:33" x14ac:dyDescent="0.25">
      <c r="A36" t="s">
        <v>17</v>
      </c>
      <c r="B36" t="s">
        <v>21</v>
      </c>
      <c r="C36" t="s">
        <v>28</v>
      </c>
      <c r="D36" s="1">
        <v>3976</v>
      </c>
      <c r="E36">
        <v>72</v>
      </c>
      <c r="F36">
        <v>12</v>
      </c>
      <c r="G36">
        <v>842</v>
      </c>
      <c r="H36" s="1">
        <v>3134</v>
      </c>
      <c r="I36" s="3">
        <f t="shared" si="0"/>
        <v>0.7882293762575453</v>
      </c>
      <c r="N36" t="s">
        <v>30</v>
      </c>
      <c r="O36" t="s">
        <v>10</v>
      </c>
      <c r="P36" t="s">
        <v>40</v>
      </c>
      <c r="Q36" s="1">
        <v>238</v>
      </c>
      <c r="R36">
        <v>18</v>
      </c>
      <c r="S36">
        <v>8</v>
      </c>
      <c r="T36">
        <v>138</v>
      </c>
      <c r="U36" s="1">
        <v>100</v>
      </c>
      <c r="V36" s="3">
        <v>0.42016806722689076</v>
      </c>
      <c r="Y36" t="s">
        <v>12</v>
      </c>
      <c r="Z36" t="s">
        <v>24</v>
      </c>
      <c r="AA36" t="s">
        <v>26</v>
      </c>
      <c r="AB36" s="1">
        <v>168</v>
      </c>
      <c r="AC36">
        <v>84</v>
      </c>
      <c r="AD36">
        <v>10</v>
      </c>
      <c r="AE36">
        <v>821</v>
      </c>
      <c r="AF36" s="1">
        <v>-653</v>
      </c>
      <c r="AG36" s="3">
        <v>-3.8869047619047619</v>
      </c>
    </row>
    <row r="37" spans="1:33" x14ac:dyDescent="0.25">
      <c r="A37" t="s">
        <v>20</v>
      </c>
      <c r="B37" t="s">
        <v>24</v>
      </c>
      <c r="C37" t="s">
        <v>43</v>
      </c>
      <c r="D37" s="1">
        <v>1134</v>
      </c>
      <c r="E37">
        <v>282</v>
      </c>
      <c r="F37">
        <v>17</v>
      </c>
      <c r="G37" s="2">
        <v>4718</v>
      </c>
      <c r="H37" s="1">
        <v>-3584</v>
      </c>
      <c r="I37" s="3">
        <f t="shared" si="0"/>
        <v>-3.1604938271604937</v>
      </c>
      <c r="N37" t="s">
        <v>20</v>
      </c>
      <c r="O37" t="s">
        <v>10</v>
      </c>
      <c r="P37" t="s">
        <v>38</v>
      </c>
      <c r="Q37" s="1">
        <v>4949</v>
      </c>
      <c r="R37">
        <v>189</v>
      </c>
      <c r="S37">
        <v>6</v>
      </c>
      <c r="T37" s="2">
        <v>1227</v>
      </c>
      <c r="U37" s="1">
        <v>3722</v>
      </c>
      <c r="V37" s="3">
        <v>0.75207112547989496</v>
      </c>
      <c r="Y37" t="s">
        <v>29</v>
      </c>
      <c r="Z37" t="s">
        <v>10</v>
      </c>
      <c r="AA37" t="s">
        <v>26</v>
      </c>
      <c r="AB37" s="1">
        <v>518</v>
      </c>
      <c r="AC37">
        <v>75</v>
      </c>
      <c r="AD37">
        <v>10</v>
      </c>
      <c r="AE37">
        <v>733</v>
      </c>
      <c r="AF37" s="1">
        <v>-215</v>
      </c>
      <c r="AG37" s="3">
        <v>-0.41505791505791506</v>
      </c>
    </row>
    <row r="38" spans="1:33" x14ac:dyDescent="0.25">
      <c r="A38" t="s">
        <v>30</v>
      </c>
      <c r="B38" t="s">
        <v>21</v>
      </c>
      <c r="C38" t="s">
        <v>44</v>
      </c>
      <c r="D38" s="1">
        <v>6027</v>
      </c>
      <c r="E38">
        <v>144</v>
      </c>
      <c r="F38">
        <v>10</v>
      </c>
      <c r="G38" s="2">
        <v>1495</v>
      </c>
      <c r="H38" s="1">
        <v>4532</v>
      </c>
      <c r="I38" s="3">
        <f t="shared" si="0"/>
        <v>0.75194956031192961</v>
      </c>
      <c r="N38" t="s">
        <v>29</v>
      </c>
      <c r="O38" t="s">
        <v>24</v>
      </c>
      <c r="P38" t="s">
        <v>14</v>
      </c>
      <c r="Q38" s="1">
        <v>5075</v>
      </c>
      <c r="R38">
        <v>21</v>
      </c>
      <c r="S38">
        <v>9</v>
      </c>
      <c r="T38">
        <v>182</v>
      </c>
      <c r="U38" s="1">
        <v>4893</v>
      </c>
      <c r="V38" s="3">
        <v>0.96413793103448275</v>
      </c>
      <c r="Y38" t="s">
        <v>15</v>
      </c>
      <c r="Z38" t="s">
        <v>10</v>
      </c>
      <c r="AA38" t="s">
        <v>16</v>
      </c>
      <c r="AB38" s="1">
        <v>259</v>
      </c>
      <c r="AC38">
        <v>207</v>
      </c>
      <c r="AD38">
        <v>12</v>
      </c>
      <c r="AE38" s="2">
        <v>2459</v>
      </c>
      <c r="AF38" s="1">
        <v>-2200</v>
      </c>
      <c r="AG38" s="3">
        <v>-8.494208494208495</v>
      </c>
    </row>
    <row r="39" spans="1:33" x14ac:dyDescent="0.25">
      <c r="A39" t="s">
        <v>20</v>
      </c>
      <c r="B39" t="s">
        <v>10</v>
      </c>
      <c r="C39" t="s">
        <v>33</v>
      </c>
      <c r="D39" s="1">
        <v>1904</v>
      </c>
      <c r="E39">
        <v>405</v>
      </c>
      <c r="F39">
        <v>9</v>
      </c>
      <c r="G39" s="2">
        <v>3560</v>
      </c>
      <c r="H39" s="1">
        <v>-1656</v>
      </c>
      <c r="I39" s="3">
        <f t="shared" si="0"/>
        <v>-0.86974789915966388</v>
      </c>
      <c r="N39" t="s">
        <v>31</v>
      </c>
      <c r="O39" t="s">
        <v>18</v>
      </c>
      <c r="P39" t="s">
        <v>33</v>
      </c>
      <c r="Q39" s="1">
        <v>9198</v>
      </c>
      <c r="R39">
        <v>36</v>
      </c>
      <c r="S39">
        <v>9</v>
      </c>
      <c r="T39">
        <v>316</v>
      </c>
      <c r="U39" s="1">
        <v>8882</v>
      </c>
      <c r="V39" s="3">
        <v>0.96564470537073277</v>
      </c>
      <c r="Y39" t="s">
        <v>12</v>
      </c>
      <c r="Z39" t="s">
        <v>10</v>
      </c>
      <c r="AA39" t="s">
        <v>11</v>
      </c>
      <c r="AB39" s="1">
        <v>42</v>
      </c>
      <c r="AC39">
        <v>150</v>
      </c>
      <c r="AD39">
        <v>14</v>
      </c>
      <c r="AE39" s="2">
        <v>2174</v>
      </c>
      <c r="AF39" s="1">
        <v>-2132</v>
      </c>
      <c r="AG39" s="3">
        <v>-50.761904761904759</v>
      </c>
    </row>
    <row r="40" spans="1:33" x14ac:dyDescent="0.25">
      <c r="A40" t="s">
        <v>27</v>
      </c>
      <c r="B40" t="s">
        <v>34</v>
      </c>
      <c r="C40" t="s">
        <v>14</v>
      </c>
      <c r="D40" s="1">
        <v>3262</v>
      </c>
      <c r="E40">
        <v>75</v>
      </c>
      <c r="F40">
        <v>9</v>
      </c>
      <c r="G40">
        <v>649</v>
      </c>
      <c r="H40" s="1">
        <v>2613</v>
      </c>
      <c r="I40" s="3">
        <f t="shared" si="0"/>
        <v>0.80104230533415077</v>
      </c>
      <c r="N40" t="s">
        <v>20</v>
      </c>
      <c r="O40" t="s">
        <v>34</v>
      </c>
      <c r="P40" t="s">
        <v>36</v>
      </c>
      <c r="Q40" s="1">
        <v>3339</v>
      </c>
      <c r="R40">
        <v>75</v>
      </c>
      <c r="S40">
        <v>7</v>
      </c>
      <c r="T40">
        <v>537</v>
      </c>
      <c r="U40" s="1">
        <v>2802</v>
      </c>
      <c r="V40" s="3">
        <v>0.83917340521114103</v>
      </c>
      <c r="Y40" t="s">
        <v>17</v>
      </c>
      <c r="Z40" t="s">
        <v>18</v>
      </c>
      <c r="AA40" t="s">
        <v>46</v>
      </c>
      <c r="AB40" s="1">
        <v>98</v>
      </c>
      <c r="AC40">
        <v>204</v>
      </c>
      <c r="AD40">
        <v>6</v>
      </c>
      <c r="AE40" s="2">
        <v>1142</v>
      </c>
      <c r="AF40" s="1">
        <v>-1044</v>
      </c>
      <c r="AG40" s="3">
        <v>-10.653061224489797</v>
      </c>
    </row>
    <row r="41" spans="1:33" x14ac:dyDescent="0.25">
      <c r="A41" t="s">
        <v>9</v>
      </c>
      <c r="B41" t="s">
        <v>34</v>
      </c>
      <c r="C41" t="s">
        <v>43</v>
      </c>
      <c r="D41" s="1">
        <v>2289</v>
      </c>
      <c r="E41">
        <v>135</v>
      </c>
      <c r="F41">
        <v>17</v>
      </c>
      <c r="G41" s="2">
        <v>2259</v>
      </c>
      <c r="H41" s="1">
        <v>30</v>
      </c>
      <c r="I41" s="3">
        <f t="shared" si="0"/>
        <v>1.310615989515072E-2</v>
      </c>
      <c r="N41" t="s">
        <v>9</v>
      </c>
      <c r="O41" t="s">
        <v>34</v>
      </c>
      <c r="P41" t="s">
        <v>32</v>
      </c>
      <c r="Q41" s="1">
        <v>5019</v>
      </c>
      <c r="R41">
        <v>156</v>
      </c>
      <c r="S41">
        <v>3</v>
      </c>
      <c r="T41">
        <v>485</v>
      </c>
      <c r="U41" s="1">
        <v>4534</v>
      </c>
      <c r="V41" s="3">
        <v>0.90336720462243469</v>
      </c>
      <c r="Y41" t="s">
        <v>12</v>
      </c>
      <c r="Z41" t="s">
        <v>24</v>
      </c>
      <c r="AA41" t="s">
        <v>35</v>
      </c>
      <c r="AB41" s="1">
        <v>819</v>
      </c>
      <c r="AC41">
        <v>510</v>
      </c>
      <c r="AD41">
        <v>9</v>
      </c>
      <c r="AE41" s="2">
        <v>4758</v>
      </c>
      <c r="AF41" s="1">
        <v>-3939</v>
      </c>
      <c r="AG41" s="3">
        <v>-4.8095238095238093</v>
      </c>
    </row>
    <row r="42" spans="1:33" x14ac:dyDescent="0.25">
      <c r="A42" t="s">
        <v>29</v>
      </c>
      <c r="B42" t="s">
        <v>34</v>
      </c>
      <c r="C42" t="s">
        <v>43</v>
      </c>
      <c r="D42" s="1">
        <v>6986</v>
      </c>
      <c r="E42">
        <v>21</v>
      </c>
      <c r="F42">
        <v>17</v>
      </c>
      <c r="G42">
        <v>351</v>
      </c>
      <c r="H42" s="1">
        <v>6635</v>
      </c>
      <c r="I42" s="3">
        <f t="shared" si="0"/>
        <v>0.94975665616948179</v>
      </c>
      <c r="N42" t="s">
        <v>29</v>
      </c>
      <c r="O42" t="s">
        <v>18</v>
      </c>
      <c r="P42" t="s">
        <v>33</v>
      </c>
      <c r="Q42" s="1">
        <v>16184</v>
      </c>
      <c r="R42">
        <v>39</v>
      </c>
      <c r="S42">
        <v>9</v>
      </c>
      <c r="T42">
        <v>343</v>
      </c>
      <c r="U42" s="1">
        <v>15841</v>
      </c>
      <c r="V42" s="3">
        <v>0.97880622837370246</v>
      </c>
      <c r="Y42" t="s">
        <v>12</v>
      </c>
      <c r="Z42" t="s">
        <v>13</v>
      </c>
      <c r="AA42" t="s">
        <v>23</v>
      </c>
      <c r="AB42" s="1">
        <v>357</v>
      </c>
      <c r="AC42">
        <v>126</v>
      </c>
      <c r="AD42">
        <v>12</v>
      </c>
      <c r="AE42" s="2">
        <v>1559</v>
      </c>
      <c r="AF42" s="1">
        <v>-1202</v>
      </c>
      <c r="AG42" s="3">
        <v>-3.3669467787114846</v>
      </c>
    </row>
    <row r="43" spans="1:33" x14ac:dyDescent="0.25">
      <c r="A43" t="s">
        <v>30</v>
      </c>
      <c r="B43" t="s">
        <v>24</v>
      </c>
      <c r="C43" t="s">
        <v>38</v>
      </c>
      <c r="D43" s="1">
        <v>4417</v>
      </c>
      <c r="E43">
        <v>153</v>
      </c>
      <c r="F43">
        <v>6</v>
      </c>
      <c r="G43">
        <v>993</v>
      </c>
      <c r="H43" s="1">
        <v>3424</v>
      </c>
      <c r="I43" s="3">
        <f t="shared" si="0"/>
        <v>0.77518677835635041</v>
      </c>
      <c r="N43" t="s">
        <v>30</v>
      </c>
      <c r="O43" t="s">
        <v>18</v>
      </c>
      <c r="P43" t="s">
        <v>36</v>
      </c>
      <c r="Q43" s="1">
        <v>8211</v>
      </c>
      <c r="R43">
        <v>75</v>
      </c>
      <c r="S43">
        <v>7</v>
      </c>
      <c r="T43">
        <v>537</v>
      </c>
      <c r="U43" s="1">
        <v>7674</v>
      </c>
      <c r="V43" s="3">
        <v>0.93459992692729266</v>
      </c>
      <c r="Y43" t="s">
        <v>9</v>
      </c>
      <c r="Z43" t="s">
        <v>21</v>
      </c>
      <c r="AA43" t="s">
        <v>36</v>
      </c>
      <c r="AB43" s="1">
        <v>0</v>
      </c>
      <c r="AC43">
        <v>135</v>
      </c>
      <c r="AD43">
        <v>7</v>
      </c>
      <c r="AE43">
        <v>967</v>
      </c>
      <c r="AF43" s="1">
        <v>-967</v>
      </c>
      <c r="AG43" s="3">
        <v>0</v>
      </c>
    </row>
    <row r="44" spans="1:33" x14ac:dyDescent="0.25">
      <c r="A44" t="s">
        <v>20</v>
      </c>
      <c r="B44" t="s">
        <v>34</v>
      </c>
      <c r="C44" t="s">
        <v>41</v>
      </c>
      <c r="D44" s="1">
        <v>1442</v>
      </c>
      <c r="E44">
        <v>15</v>
      </c>
      <c r="F44">
        <v>12</v>
      </c>
      <c r="G44">
        <v>176</v>
      </c>
      <c r="H44" s="1">
        <v>1266</v>
      </c>
      <c r="I44" s="3">
        <f t="shared" si="0"/>
        <v>0.87794729542302363</v>
      </c>
      <c r="N44" t="s">
        <v>30</v>
      </c>
      <c r="O44" t="s">
        <v>24</v>
      </c>
      <c r="P44" t="s">
        <v>44</v>
      </c>
      <c r="Q44" s="1">
        <v>6580</v>
      </c>
      <c r="R44">
        <v>183</v>
      </c>
      <c r="S44">
        <v>10</v>
      </c>
      <c r="T44" s="2">
        <v>1900</v>
      </c>
      <c r="U44" s="1">
        <v>4680</v>
      </c>
      <c r="V44" s="3">
        <v>0.71124620060790278</v>
      </c>
      <c r="Y44" t="s">
        <v>20</v>
      </c>
      <c r="Z44" t="s">
        <v>10</v>
      </c>
      <c r="AA44" t="s">
        <v>44</v>
      </c>
      <c r="AB44" s="1">
        <v>3556</v>
      </c>
      <c r="AC44">
        <v>459</v>
      </c>
      <c r="AD44">
        <v>10</v>
      </c>
      <c r="AE44" s="2">
        <v>4764</v>
      </c>
      <c r="AF44" s="1">
        <v>-1208</v>
      </c>
      <c r="AG44" s="3">
        <v>-0.33970753655793023</v>
      </c>
    </row>
    <row r="45" spans="1:33" x14ac:dyDescent="0.25">
      <c r="A45" t="s">
        <v>31</v>
      </c>
      <c r="B45" t="s">
        <v>13</v>
      </c>
      <c r="C45" t="s">
        <v>28</v>
      </c>
      <c r="D45" s="1">
        <v>2415</v>
      </c>
      <c r="E45">
        <v>255</v>
      </c>
      <c r="F45">
        <v>12</v>
      </c>
      <c r="G45" s="2">
        <v>2984</v>
      </c>
      <c r="H45" s="1">
        <v>-569</v>
      </c>
      <c r="I45" s="3">
        <f t="shared" si="0"/>
        <v>-0.23561076604554865</v>
      </c>
      <c r="N45" t="s">
        <v>17</v>
      </c>
      <c r="O45" t="s">
        <v>13</v>
      </c>
      <c r="P45" t="s">
        <v>35</v>
      </c>
      <c r="Q45" s="1">
        <v>4760</v>
      </c>
      <c r="R45">
        <v>69</v>
      </c>
      <c r="S45">
        <v>9</v>
      </c>
      <c r="T45">
        <v>644</v>
      </c>
      <c r="U45" s="1">
        <v>4116</v>
      </c>
      <c r="V45" s="3">
        <v>0.86470588235294121</v>
      </c>
      <c r="Y45" t="s">
        <v>20</v>
      </c>
      <c r="Z45" t="s">
        <v>34</v>
      </c>
      <c r="AA45" t="s">
        <v>11</v>
      </c>
      <c r="AB45" s="1">
        <v>3402</v>
      </c>
      <c r="AC45">
        <v>366</v>
      </c>
      <c r="AD45">
        <v>14</v>
      </c>
      <c r="AE45" s="2">
        <v>5303</v>
      </c>
      <c r="AF45" s="1">
        <v>-1901</v>
      </c>
      <c r="AG45" s="3">
        <v>-0.5587889476778366</v>
      </c>
    </row>
    <row r="46" spans="1:33" x14ac:dyDescent="0.25">
      <c r="A46" t="s">
        <v>30</v>
      </c>
      <c r="B46" t="s">
        <v>10</v>
      </c>
      <c r="C46" t="s">
        <v>40</v>
      </c>
      <c r="D46" s="1">
        <v>238</v>
      </c>
      <c r="E46">
        <v>18</v>
      </c>
      <c r="F46">
        <v>8</v>
      </c>
      <c r="G46">
        <v>138</v>
      </c>
      <c r="H46" s="1">
        <v>100</v>
      </c>
      <c r="I46" s="3">
        <f t="shared" si="0"/>
        <v>0.42016806722689076</v>
      </c>
      <c r="N46" t="s">
        <v>9</v>
      </c>
      <c r="O46" t="s">
        <v>18</v>
      </c>
      <c r="P46" t="s">
        <v>22</v>
      </c>
      <c r="Q46" s="1">
        <v>5439</v>
      </c>
      <c r="R46">
        <v>30</v>
      </c>
      <c r="S46">
        <v>13</v>
      </c>
      <c r="T46">
        <v>395</v>
      </c>
      <c r="U46" s="1">
        <v>5045</v>
      </c>
      <c r="V46" s="3">
        <v>0.927560213274499</v>
      </c>
      <c r="Y46" t="s">
        <v>9</v>
      </c>
      <c r="Z46" t="s">
        <v>13</v>
      </c>
      <c r="AA46" t="s">
        <v>11</v>
      </c>
      <c r="AB46" s="1">
        <v>2275</v>
      </c>
      <c r="AC46">
        <v>447</v>
      </c>
      <c r="AD46">
        <v>14</v>
      </c>
      <c r="AE46" s="2">
        <v>6477</v>
      </c>
      <c r="AF46" s="1">
        <v>-4202</v>
      </c>
      <c r="AG46" s="3">
        <v>-1.847032967032967</v>
      </c>
    </row>
    <row r="47" spans="1:33" x14ac:dyDescent="0.25">
      <c r="A47" t="s">
        <v>20</v>
      </c>
      <c r="B47" t="s">
        <v>10</v>
      </c>
      <c r="C47" t="s">
        <v>38</v>
      </c>
      <c r="D47" s="1">
        <v>4949</v>
      </c>
      <c r="E47">
        <v>189</v>
      </c>
      <c r="F47">
        <v>6</v>
      </c>
      <c r="G47" s="2">
        <v>1227</v>
      </c>
      <c r="H47" s="1">
        <v>3722</v>
      </c>
      <c r="I47" s="3">
        <f t="shared" si="0"/>
        <v>0.75207112547989496</v>
      </c>
      <c r="N47" t="s">
        <v>17</v>
      </c>
      <c r="O47" t="s">
        <v>34</v>
      </c>
      <c r="P47" t="s">
        <v>32</v>
      </c>
      <c r="Q47" s="1">
        <v>1463</v>
      </c>
      <c r="R47">
        <v>39</v>
      </c>
      <c r="S47">
        <v>3</v>
      </c>
      <c r="T47">
        <v>121</v>
      </c>
      <c r="U47" s="1">
        <v>1342</v>
      </c>
      <c r="V47" s="3">
        <v>0.91729323308270672</v>
      </c>
      <c r="Y47" t="s">
        <v>31</v>
      </c>
      <c r="Z47" t="s">
        <v>13</v>
      </c>
      <c r="AA47" t="s">
        <v>23</v>
      </c>
      <c r="AB47" s="1">
        <v>819</v>
      </c>
      <c r="AC47">
        <v>306</v>
      </c>
      <c r="AD47">
        <v>12</v>
      </c>
      <c r="AE47" s="2">
        <v>3785</v>
      </c>
      <c r="AF47" s="1">
        <v>-2966</v>
      </c>
      <c r="AG47" s="3">
        <v>-3.6214896214896215</v>
      </c>
    </row>
    <row r="48" spans="1:33" x14ac:dyDescent="0.25">
      <c r="A48" t="s">
        <v>29</v>
      </c>
      <c r="B48" t="s">
        <v>24</v>
      </c>
      <c r="C48" t="s">
        <v>14</v>
      </c>
      <c r="D48" s="1">
        <v>5075</v>
      </c>
      <c r="E48">
        <v>21</v>
      </c>
      <c r="F48">
        <v>9</v>
      </c>
      <c r="G48">
        <v>182</v>
      </c>
      <c r="H48" s="1">
        <v>4893</v>
      </c>
      <c r="I48" s="3">
        <f t="shared" si="0"/>
        <v>0.96413793103448275</v>
      </c>
      <c r="N48" t="s">
        <v>31</v>
      </c>
      <c r="O48" t="s">
        <v>34</v>
      </c>
      <c r="P48" t="s">
        <v>14</v>
      </c>
      <c r="Q48" s="1">
        <v>7777</v>
      </c>
      <c r="R48">
        <v>504</v>
      </c>
      <c r="S48">
        <v>9</v>
      </c>
      <c r="T48" s="2">
        <v>4360</v>
      </c>
      <c r="U48" s="1">
        <v>3417</v>
      </c>
      <c r="V48" s="3">
        <v>0.43937250867943939</v>
      </c>
      <c r="Y48" t="s">
        <v>12</v>
      </c>
      <c r="Z48" t="s">
        <v>10</v>
      </c>
      <c r="AA48" t="s">
        <v>26</v>
      </c>
      <c r="AB48" s="1">
        <v>1890</v>
      </c>
      <c r="AC48">
        <v>195</v>
      </c>
      <c r="AD48">
        <v>10</v>
      </c>
      <c r="AE48" s="2">
        <v>1905</v>
      </c>
      <c r="AF48" s="1">
        <v>-15</v>
      </c>
      <c r="AG48" s="3">
        <v>-7.9365079365079361E-3</v>
      </c>
    </row>
    <row r="49" spans="1:33" x14ac:dyDescent="0.25">
      <c r="A49" t="s">
        <v>31</v>
      </c>
      <c r="B49" t="s">
        <v>18</v>
      </c>
      <c r="C49" t="s">
        <v>33</v>
      </c>
      <c r="D49" s="1">
        <v>9198</v>
      </c>
      <c r="E49">
        <v>36</v>
      </c>
      <c r="F49">
        <v>9</v>
      </c>
      <c r="G49">
        <v>316</v>
      </c>
      <c r="H49" s="1">
        <v>8882</v>
      </c>
      <c r="I49" s="3">
        <f t="shared" si="0"/>
        <v>0.96564470537073277</v>
      </c>
      <c r="N49" t="s">
        <v>20</v>
      </c>
      <c r="O49" t="s">
        <v>34</v>
      </c>
      <c r="P49" t="s">
        <v>43</v>
      </c>
      <c r="Q49" s="1">
        <v>4242</v>
      </c>
      <c r="R49">
        <v>207</v>
      </c>
      <c r="S49">
        <v>17</v>
      </c>
      <c r="T49" s="2">
        <v>3463</v>
      </c>
      <c r="U49" s="1">
        <v>779</v>
      </c>
      <c r="V49" s="3">
        <v>0.18363979255068363</v>
      </c>
      <c r="Y49" t="s">
        <v>27</v>
      </c>
      <c r="Z49" t="s">
        <v>34</v>
      </c>
      <c r="AA49" t="s">
        <v>28</v>
      </c>
      <c r="AB49" s="1">
        <v>1932</v>
      </c>
      <c r="AC49">
        <v>369</v>
      </c>
      <c r="AD49">
        <v>12</v>
      </c>
      <c r="AE49" s="2">
        <v>4317</v>
      </c>
      <c r="AF49" s="1">
        <v>-2385</v>
      </c>
      <c r="AG49" s="3">
        <v>-1.234472049689441</v>
      </c>
    </row>
    <row r="50" spans="1:33" x14ac:dyDescent="0.25">
      <c r="A50" t="s">
        <v>20</v>
      </c>
      <c r="B50" t="s">
        <v>34</v>
      </c>
      <c r="C50" t="s">
        <v>36</v>
      </c>
      <c r="D50" s="1">
        <v>3339</v>
      </c>
      <c r="E50">
        <v>75</v>
      </c>
      <c r="F50">
        <v>7</v>
      </c>
      <c r="G50">
        <v>537</v>
      </c>
      <c r="H50" s="1">
        <v>2802</v>
      </c>
      <c r="I50" s="3">
        <f t="shared" si="0"/>
        <v>0.83917340521114103</v>
      </c>
      <c r="N50" t="s">
        <v>20</v>
      </c>
      <c r="O50" t="s">
        <v>18</v>
      </c>
      <c r="P50" t="s">
        <v>14</v>
      </c>
      <c r="Q50" s="1">
        <v>6118</v>
      </c>
      <c r="R50">
        <v>9</v>
      </c>
      <c r="S50">
        <v>9</v>
      </c>
      <c r="T50">
        <v>78</v>
      </c>
      <c r="U50" s="1">
        <v>6040</v>
      </c>
      <c r="V50" s="3">
        <v>0.98725073553448839</v>
      </c>
      <c r="Y50" t="s">
        <v>20</v>
      </c>
      <c r="Z50" t="s">
        <v>10</v>
      </c>
      <c r="AA50" t="s">
        <v>11</v>
      </c>
      <c r="AB50" s="1">
        <v>560</v>
      </c>
      <c r="AC50">
        <v>81</v>
      </c>
      <c r="AD50">
        <v>14</v>
      </c>
      <c r="AE50" s="2">
        <v>1174</v>
      </c>
      <c r="AF50" s="1">
        <v>-614</v>
      </c>
      <c r="AG50" s="3">
        <v>-1.0964285714285715</v>
      </c>
    </row>
    <row r="51" spans="1:33" x14ac:dyDescent="0.25">
      <c r="A51" t="s">
        <v>9</v>
      </c>
      <c r="B51" t="s">
        <v>34</v>
      </c>
      <c r="C51" t="s">
        <v>32</v>
      </c>
      <c r="D51" s="1">
        <v>5019</v>
      </c>
      <c r="E51">
        <v>156</v>
      </c>
      <c r="F51">
        <v>3</v>
      </c>
      <c r="G51">
        <v>485</v>
      </c>
      <c r="H51" s="1">
        <v>4534</v>
      </c>
      <c r="I51" s="3">
        <f t="shared" si="0"/>
        <v>0.90336720462243469</v>
      </c>
      <c r="N51" t="s">
        <v>39</v>
      </c>
      <c r="O51" t="s">
        <v>18</v>
      </c>
      <c r="P51" t="s">
        <v>38</v>
      </c>
      <c r="Q51" s="1">
        <v>2317</v>
      </c>
      <c r="R51">
        <v>261</v>
      </c>
      <c r="S51">
        <v>6</v>
      </c>
      <c r="T51" s="2">
        <v>1694</v>
      </c>
      <c r="U51" s="1">
        <v>623</v>
      </c>
      <c r="V51" s="3">
        <v>0.26888217522658608</v>
      </c>
      <c r="Y51" t="s">
        <v>17</v>
      </c>
      <c r="Z51" t="s">
        <v>34</v>
      </c>
      <c r="AA51" t="s">
        <v>33</v>
      </c>
      <c r="AB51" s="1">
        <v>1274</v>
      </c>
      <c r="AC51">
        <v>225</v>
      </c>
      <c r="AD51">
        <v>9</v>
      </c>
      <c r="AE51" s="2">
        <v>1978</v>
      </c>
      <c r="AF51" s="1">
        <v>-704</v>
      </c>
      <c r="AG51" s="3">
        <v>-0.55259026687598112</v>
      </c>
    </row>
    <row r="52" spans="1:33" x14ac:dyDescent="0.25">
      <c r="A52" t="s">
        <v>29</v>
      </c>
      <c r="B52" t="s">
        <v>18</v>
      </c>
      <c r="C52" t="s">
        <v>33</v>
      </c>
      <c r="D52" s="1">
        <v>16184</v>
      </c>
      <c r="E52">
        <v>39</v>
      </c>
      <c r="F52">
        <v>9</v>
      </c>
      <c r="G52">
        <v>343</v>
      </c>
      <c r="H52" s="1">
        <v>15841</v>
      </c>
      <c r="I52" s="3">
        <f t="shared" si="0"/>
        <v>0.97880622837370246</v>
      </c>
      <c r="N52" t="s">
        <v>20</v>
      </c>
      <c r="O52" t="s">
        <v>24</v>
      </c>
      <c r="P52" t="s">
        <v>33</v>
      </c>
      <c r="Q52" s="1">
        <v>938</v>
      </c>
      <c r="R52">
        <v>6</v>
      </c>
      <c r="S52">
        <v>9</v>
      </c>
      <c r="T52">
        <v>53</v>
      </c>
      <c r="U52" s="1">
        <v>885</v>
      </c>
      <c r="V52" s="3">
        <v>0.94349680170575689</v>
      </c>
      <c r="Y52" t="s">
        <v>15</v>
      </c>
      <c r="Z52" t="s">
        <v>34</v>
      </c>
      <c r="AA52" t="s">
        <v>33</v>
      </c>
      <c r="AB52" s="1">
        <v>938</v>
      </c>
      <c r="AC52">
        <v>189</v>
      </c>
      <c r="AD52">
        <v>9</v>
      </c>
      <c r="AE52" s="2">
        <v>1661</v>
      </c>
      <c r="AF52" s="1">
        <v>-723</v>
      </c>
      <c r="AG52" s="3">
        <v>-0.77078891257995741</v>
      </c>
    </row>
    <row r="53" spans="1:33" x14ac:dyDescent="0.25">
      <c r="A53" t="s">
        <v>20</v>
      </c>
      <c r="B53" t="s">
        <v>18</v>
      </c>
      <c r="C53" t="s">
        <v>45</v>
      </c>
      <c r="D53" s="1">
        <v>497</v>
      </c>
      <c r="E53">
        <v>63</v>
      </c>
      <c r="F53">
        <v>9</v>
      </c>
      <c r="G53">
        <v>567</v>
      </c>
      <c r="H53" s="1">
        <v>-70</v>
      </c>
      <c r="I53" s="3">
        <f t="shared" si="0"/>
        <v>-0.14084507042253522</v>
      </c>
      <c r="N53" t="s">
        <v>12</v>
      </c>
      <c r="O53" t="s">
        <v>10</v>
      </c>
      <c r="P53" t="s">
        <v>41</v>
      </c>
      <c r="Q53" s="1">
        <v>9709</v>
      </c>
      <c r="R53">
        <v>30</v>
      </c>
      <c r="S53">
        <v>12</v>
      </c>
      <c r="T53">
        <v>352</v>
      </c>
      <c r="U53" s="1">
        <v>9357</v>
      </c>
      <c r="V53" s="3">
        <v>0.96374497888557009</v>
      </c>
      <c r="Y53" t="s">
        <v>17</v>
      </c>
      <c r="Z53" t="s">
        <v>24</v>
      </c>
      <c r="AA53" t="s">
        <v>22</v>
      </c>
      <c r="AB53" s="1">
        <v>154</v>
      </c>
      <c r="AC53">
        <v>21</v>
      </c>
      <c r="AD53">
        <v>13</v>
      </c>
      <c r="AE53">
        <v>276</v>
      </c>
      <c r="AF53" s="1">
        <v>-122</v>
      </c>
      <c r="AG53" s="3">
        <v>-0.79220779220779225</v>
      </c>
    </row>
    <row r="54" spans="1:33" x14ac:dyDescent="0.25">
      <c r="A54" t="s">
        <v>30</v>
      </c>
      <c r="B54" t="s">
        <v>18</v>
      </c>
      <c r="C54" t="s">
        <v>36</v>
      </c>
      <c r="D54" s="1">
        <v>8211</v>
      </c>
      <c r="E54">
        <v>75</v>
      </c>
      <c r="F54">
        <v>7</v>
      </c>
      <c r="G54">
        <v>537</v>
      </c>
      <c r="H54" s="1">
        <v>7674</v>
      </c>
      <c r="I54" s="3">
        <f t="shared" si="0"/>
        <v>0.93459992692729266</v>
      </c>
      <c r="N54" t="s">
        <v>27</v>
      </c>
      <c r="O54" t="s">
        <v>34</v>
      </c>
      <c r="P54" t="s">
        <v>37</v>
      </c>
      <c r="Q54" s="1">
        <v>2205</v>
      </c>
      <c r="R54">
        <v>138</v>
      </c>
      <c r="S54">
        <v>11</v>
      </c>
      <c r="T54" s="2">
        <v>1466</v>
      </c>
      <c r="U54" s="1">
        <v>739</v>
      </c>
      <c r="V54" s="3">
        <v>0.33514739229024942</v>
      </c>
      <c r="Y54" t="s">
        <v>27</v>
      </c>
      <c r="Z54" t="s">
        <v>21</v>
      </c>
      <c r="AA54" t="s">
        <v>43</v>
      </c>
      <c r="AB54" s="1">
        <v>966</v>
      </c>
      <c r="AC54">
        <v>198</v>
      </c>
      <c r="AD54">
        <v>17</v>
      </c>
      <c r="AE54" s="2">
        <v>3313</v>
      </c>
      <c r="AF54" s="1">
        <v>-2347</v>
      </c>
      <c r="AG54" s="3">
        <v>-2.4296066252587991</v>
      </c>
    </row>
    <row r="55" spans="1:33" x14ac:dyDescent="0.25">
      <c r="A55" t="s">
        <v>30</v>
      </c>
      <c r="B55" t="s">
        <v>24</v>
      </c>
      <c r="C55" t="s">
        <v>44</v>
      </c>
      <c r="D55" s="1">
        <v>6580</v>
      </c>
      <c r="E55">
        <v>183</v>
      </c>
      <c r="F55">
        <v>10</v>
      </c>
      <c r="G55" s="2">
        <v>1900</v>
      </c>
      <c r="H55" s="1">
        <v>4680</v>
      </c>
      <c r="I55" s="3">
        <f t="shared" si="0"/>
        <v>0.71124620060790278</v>
      </c>
      <c r="N55" t="s">
        <v>27</v>
      </c>
      <c r="O55" t="s">
        <v>10</v>
      </c>
      <c r="P55" t="s">
        <v>32</v>
      </c>
      <c r="Q55" s="1">
        <v>4487</v>
      </c>
      <c r="R55">
        <v>111</v>
      </c>
      <c r="S55">
        <v>3</v>
      </c>
      <c r="T55">
        <v>345</v>
      </c>
      <c r="U55" s="1">
        <v>4142</v>
      </c>
      <c r="V55" s="3">
        <v>0.92311121016269226</v>
      </c>
      <c r="Y55" t="s">
        <v>29</v>
      </c>
      <c r="Z55" t="s">
        <v>21</v>
      </c>
      <c r="AA55" t="s">
        <v>19</v>
      </c>
      <c r="AB55" s="1">
        <v>385</v>
      </c>
      <c r="AC55">
        <v>249</v>
      </c>
      <c r="AD55">
        <v>6</v>
      </c>
      <c r="AE55" s="2">
        <v>1611</v>
      </c>
      <c r="AF55" s="1">
        <v>-1226</v>
      </c>
      <c r="AG55" s="3">
        <v>-3.1844155844155844</v>
      </c>
    </row>
    <row r="56" spans="1:33" x14ac:dyDescent="0.25">
      <c r="A56" t="s">
        <v>17</v>
      </c>
      <c r="B56" t="s">
        <v>13</v>
      </c>
      <c r="C56" t="s">
        <v>35</v>
      </c>
      <c r="D56" s="1">
        <v>4760</v>
      </c>
      <c r="E56">
        <v>69</v>
      </c>
      <c r="F56">
        <v>9</v>
      </c>
      <c r="G56">
        <v>644</v>
      </c>
      <c r="H56" s="1">
        <v>4116</v>
      </c>
      <c r="I56" s="3">
        <f t="shared" si="0"/>
        <v>0.86470588235294121</v>
      </c>
      <c r="N56" t="s">
        <v>29</v>
      </c>
      <c r="O56" t="s">
        <v>13</v>
      </c>
      <c r="P56" t="s">
        <v>19</v>
      </c>
      <c r="Q56" s="1">
        <v>2415</v>
      </c>
      <c r="R56">
        <v>15</v>
      </c>
      <c r="S56">
        <v>6</v>
      </c>
      <c r="T56">
        <v>97</v>
      </c>
      <c r="U56" s="1">
        <v>2318</v>
      </c>
      <c r="V56" s="3">
        <v>0.95983436853002069</v>
      </c>
      <c r="Y56" t="s">
        <v>27</v>
      </c>
      <c r="Z56" t="s">
        <v>18</v>
      </c>
      <c r="AA56" t="s">
        <v>14</v>
      </c>
      <c r="AB56" s="1">
        <v>280</v>
      </c>
      <c r="AC56">
        <v>87</v>
      </c>
      <c r="AD56">
        <v>9</v>
      </c>
      <c r="AE56">
        <v>753</v>
      </c>
      <c r="AF56" s="1">
        <v>-473</v>
      </c>
      <c r="AG56" s="3">
        <v>-1.6892857142857143</v>
      </c>
    </row>
    <row r="57" spans="1:33" x14ac:dyDescent="0.25">
      <c r="A57" t="s">
        <v>9</v>
      </c>
      <c r="B57" t="s">
        <v>18</v>
      </c>
      <c r="C57" t="s">
        <v>22</v>
      </c>
      <c r="D57" s="1">
        <v>5439</v>
      </c>
      <c r="E57">
        <v>30</v>
      </c>
      <c r="F57">
        <v>13</v>
      </c>
      <c r="G57">
        <v>395</v>
      </c>
      <c r="H57" s="1">
        <v>5045</v>
      </c>
      <c r="I57" s="3">
        <f t="shared" si="0"/>
        <v>0.927560213274499</v>
      </c>
      <c r="N57" t="s">
        <v>9</v>
      </c>
      <c r="O57" t="s">
        <v>34</v>
      </c>
      <c r="P57" t="s">
        <v>40</v>
      </c>
      <c r="Q57" s="1">
        <v>4018</v>
      </c>
      <c r="R57">
        <v>162</v>
      </c>
      <c r="S57">
        <v>8</v>
      </c>
      <c r="T57" s="2">
        <v>1238</v>
      </c>
      <c r="U57" s="1">
        <v>2780</v>
      </c>
      <c r="V57" s="3">
        <v>0.69188651070184171</v>
      </c>
      <c r="Y57" t="s">
        <v>9</v>
      </c>
      <c r="Z57" t="s">
        <v>18</v>
      </c>
      <c r="AA57" t="s">
        <v>43</v>
      </c>
      <c r="AB57" s="1">
        <v>3164</v>
      </c>
      <c r="AC57">
        <v>306</v>
      </c>
      <c r="AD57">
        <v>17</v>
      </c>
      <c r="AE57" s="2">
        <v>5119</v>
      </c>
      <c r="AF57" s="1">
        <v>-1955</v>
      </c>
      <c r="AG57" s="3">
        <v>-0.61788874841972186</v>
      </c>
    </row>
    <row r="58" spans="1:33" x14ac:dyDescent="0.25">
      <c r="A58" t="s">
        <v>17</v>
      </c>
      <c r="B58" t="s">
        <v>34</v>
      </c>
      <c r="C58" t="s">
        <v>32</v>
      </c>
      <c r="D58" s="1">
        <v>1463</v>
      </c>
      <c r="E58">
        <v>39</v>
      </c>
      <c r="F58">
        <v>3</v>
      </c>
      <c r="G58">
        <v>121</v>
      </c>
      <c r="H58" s="1">
        <v>1342</v>
      </c>
      <c r="I58" s="3">
        <f t="shared" si="0"/>
        <v>0.91729323308270672</v>
      </c>
      <c r="N58" t="s">
        <v>27</v>
      </c>
      <c r="O58" t="s">
        <v>34</v>
      </c>
      <c r="P58" t="s">
        <v>23</v>
      </c>
      <c r="Q58" s="1">
        <v>2226</v>
      </c>
      <c r="R58">
        <v>48</v>
      </c>
      <c r="S58">
        <v>12</v>
      </c>
      <c r="T58">
        <v>594</v>
      </c>
      <c r="U58" s="1">
        <v>1632</v>
      </c>
      <c r="V58" s="3">
        <v>0.73315363881401618</v>
      </c>
      <c r="Y58" t="s">
        <v>20</v>
      </c>
      <c r="Z58" t="s">
        <v>13</v>
      </c>
      <c r="AA58" t="s">
        <v>16</v>
      </c>
      <c r="AB58" s="1">
        <v>1302</v>
      </c>
      <c r="AC58">
        <v>402</v>
      </c>
      <c r="AD58">
        <v>12</v>
      </c>
      <c r="AE58" s="2">
        <v>4776</v>
      </c>
      <c r="AF58" s="1">
        <v>-3474</v>
      </c>
      <c r="AG58" s="3">
        <v>-2.6682027649769586</v>
      </c>
    </row>
    <row r="59" spans="1:33" x14ac:dyDescent="0.25">
      <c r="A59" t="s">
        <v>31</v>
      </c>
      <c r="B59" t="s">
        <v>34</v>
      </c>
      <c r="C59" t="s">
        <v>14</v>
      </c>
      <c r="D59" s="1">
        <v>7777</v>
      </c>
      <c r="E59">
        <v>504</v>
      </c>
      <c r="F59">
        <v>9</v>
      </c>
      <c r="G59" s="2">
        <v>4360</v>
      </c>
      <c r="H59" s="1">
        <v>3417</v>
      </c>
      <c r="I59" s="3">
        <f t="shared" si="0"/>
        <v>0.43937250867943939</v>
      </c>
      <c r="N59" t="s">
        <v>15</v>
      </c>
      <c r="O59" t="s">
        <v>34</v>
      </c>
      <c r="P59" t="s">
        <v>44</v>
      </c>
      <c r="Q59" s="1">
        <v>14329</v>
      </c>
      <c r="R59">
        <v>150</v>
      </c>
      <c r="S59">
        <v>10</v>
      </c>
      <c r="T59" s="2">
        <v>1557</v>
      </c>
      <c r="U59" s="1">
        <v>12772</v>
      </c>
      <c r="V59" s="3">
        <v>0.89133924209644777</v>
      </c>
      <c r="Y59" t="s">
        <v>39</v>
      </c>
      <c r="Z59" t="s">
        <v>10</v>
      </c>
      <c r="AA59" t="s">
        <v>45</v>
      </c>
      <c r="AB59" s="1">
        <v>245</v>
      </c>
      <c r="AC59">
        <v>288</v>
      </c>
      <c r="AD59">
        <v>9</v>
      </c>
      <c r="AE59" s="2">
        <v>2592</v>
      </c>
      <c r="AF59" s="1">
        <v>-2347</v>
      </c>
      <c r="AG59" s="3">
        <v>-9.5795918367346946</v>
      </c>
    </row>
    <row r="60" spans="1:33" x14ac:dyDescent="0.25">
      <c r="A60" t="s">
        <v>15</v>
      </c>
      <c r="B60" t="s">
        <v>10</v>
      </c>
      <c r="C60" t="s">
        <v>36</v>
      </c>
      <c r="D60" s="1">
        <v>1085</v>
      </c>
      <c r="E60">
        <v>273</v>
      </c>
      <c r="F60">
        <v>7</v>
      </c>
      <c r="G60" s="2">
        <v>1955</v>
      </c>
      <c r="H60" s="1">
        <v>-870</v>
      </c>
      <c r="I60" s="3">
        <f t="shared" si="0"/>
        <v>-0.8018433179723502</v>
      </c>
      <c r="N60" t="s">
        <v>15</v>
      </c>
      <c r="O60" t="s">
        <v>34</v>
      </c>
      <c r="P60" t="s">
        <v>37</v>
      </c>
      <c r="Q60" s="1">
        <v>8463</v>
      </c>
      <c r="R60">
        <v>492</v>
      </c>
      <c r="S60">
        <v>11</v>
      </c>
      <c r="T60" s="2">
        <v>5225</v>
      </c>
      <c r="U60" s="1">
        <v>3238</v>
      </c>
      <c r="V60" s="3">
        <v>0.38260664067115679</v>
      </c>
      <c r="Y60" t="s">
        <v>12</v>
      </c>
      <c r="Z60" t="s">
        <v>13</v>
      </c>
      <c r="AA60" t="s">
        <v>37</v>
      </c>
      <c r="AB60" s="1">
        <v>2702</v>
      </c>
      <c r="AC60">
        <v>363</v>
      </c>
      <c r="AD60">
        <v>11</v>
      </c>
      <c r="AE60" s="2">
        <v>3855</v>
      </c>
      <c r="AF60" s="1">
        <v>-1153</v>
      </c>
      <c r="AG60" s="3">
        <v>-0.42672094744633604</v>
      </c>
    </row>
    <row r="61" spans="1:33" x14ac:dyDescent="0.25">
      <c r="A61" t="s">
        <v>29</v>
      </c>
      <c r="B61" t="s">
        <v>10</v>
      </c>
      <c r="C61" t="s">
        <v>25</v>
      </c>
      <c r="D61" s="1">
        <v>182</v>
      </c>
      <c r="E61">
        <v>48</v>
      </c>
      <c r="F61">
        <v>6</v>
      </c>
      <c r="G61">
        <v>278</v>
      </c>
      <c r="H61" s="1">
        <v>-96</v>
      </c>
      <c r="I61" s="3">
        <f t="shared" si="0"/>
        <v>-0.52747252747252749</v>
      </c>
      <c r="N61" t="s">
        <v>29</v>
      </c>
      <c r="O61" t="s">
        <v>34</v>
      </c>
      <c r="P61" t="s">
        <v>36</v>
      </c>
      <c r="Q61" s="1">
        <v>2891</v>
      </c>
      <c r="R61">
        <v>102</v>
      </c>
      <c r="S61">
        <v>7</v>
      </c>
      <c r="T61">
        <v>730</v>
      </c>
      <c r="U61" s="1">
        <v>2161</v>
      </c>
      <c r="V61" s="3">
        <v>0.74749221722587345</v>
      </c>
      <c r="Y61" t="s">
        <v>9</v>
      </c>
      <c r="Z61" t="s">
        <v>18</v>
      </c>
      <c r="AA61" t="s">
        <v>16</v>
      </c>
      <c r="AB61" s="1">
        <v>217</v>
      </c>
      <c r="AC61">
        <v>36</v>
      </c>
      <c r="AD61">
        <v>12</v>
      </c>
      <c r="AE61">
        <v>428</v>
      </c>
      <c r="AF61" s="1">
        <v>-211</v>
      </c>
      <c r="AG61" s="3">
        <v>-0.97235023041474655</v>
      </c>
    </row>
    <row r="62" spans="1:33" x14ac:dyDescent="0.25">
      <c r="A62" t="s">
        <v>20</v>
      </c>
      <c r="B62" t="s">
        <v>34</v>
      </c>
      <c r="C62" t="s">
        <v>43</v>
      </c>
      <c r="D62" s="1">
        <v>4242</v>
      </c>
      <c r="E62">
        <v>207</v>
      </c>
      <c r="F62">
        <v>17</v>
      </c>
      <c r="G62" s="2">
        <v>3463</v>
      </c>
      <c r="H62" s="1">
        <v>779</v>
      </c>
      <c r="I62" s="3">
        <f t="shared" si="0"/>
        <v>0.18363979255068363</v>
      </c>
      <c r="N62" t="s">
        <v>31</v>
      </c>
      <c r="O62" t="s">
        <v>18</v>
      </c>
      <c r="P62" t="s">
        <v>38</v>
      </c>
      <c r="Q62" s="1">
        <v>3773</v>
      </c>
      <c r="R62">
        <v>165</v>
      </c>
      <c r="S62">
        <v>6</v>
      </c>
      <c r="T62" s="2">
        <v>1071</v>
      </c>
      <c r="U62" s="1">
        <v>2702</v>
      </c>
      <c r="V62" s="3">
        <v>0.71614100185528762</v>
      </c>
      <c r="Y62" t="s">
        <v>29</v>
      </c>
      <c r="Z62" t="s">
        <v>13</v>
      </c>
      <c r="AA62" t="s">
        <v>26</v>
      </c>
      <c r="AB62" s="1">
        <v>490</v>
      </c>
      <c r="AC62">
        <v>84</v>
      </c>
      <c r="AD62">
        <v>10</v>
      </c>
      <c r="AE62">
        <v>821</v>
      </c>
      <c r="AF62" s="1">
        <v>-331</v>
      </c>
      <c r="AG62" s="3">
        <v>-0.67551020408163265</v>
      </c>
    </row>
    <row r="63" spans="1:33" x14ac:dyDescent="0.25">
      <c r="A63" t="s">
        <v>20</v>
      </c>
      <c r="B63" t="s">
        <v>18</v>
      </c>
      <c r="C63" t="s">
        <v>14</v>
      </c>
      <c r="D63" s="1">
        <v>6118</v>
      </c>
      <c r="E63">
        <v>9</v>
      </c>
      <c r="F63">
        <v>9</v>
      </c>
      <c r="G63">
        <v>78</v>
      </c>
      <c r="H63" s="1">
        <v>6040</v>
      </c>
      <c r="I63" s="3">
        <f t="shared" si="0"/>
        <v>0.98725073553448839</v>
      </c>
      <c r="N63" t="s">
        <v>20</v>
      </c>
      <c r="O63" t="s">
        <v>18</v>
      </c>
      <c r="P63" t="s">
        <v>32</v>
      </c>
      <c r="Q63" s="1">
        <v>4970</v>
      </c>
      <c r="R63">
        <v>156</v>
      </c>
      <c r="S63">
        <v>3</v>
      </c>
      <c r="T63">
        <v>485</v>
      </c>
      <c r="U63" s="1">
        <v>4485</v>
      </c>
      <c r="V63" s="3">
        <v>0.90241448692152915</v>
      </c>
      <c r="Y63" t="s">
        <v>12</v>
      </c>
      <c r="Z63" t="s">
        <v>10</v>
      </c>
      <c r="AA63" t="s">
        <v>45</v>
      </c>
      <c r="AB63" s="1">
        <v>434</v>
      </c>
      <c r="AC63">
        <v>87</v>
      </c>
      <c r="AD63">
        <v>9</v>
      </c>
      <c r="AE63">
        <v>783</v>
      </c>
      <c r="AF63" s="1">
        <v>-349</v>
      </c>
      <c r="AG63" s="3">
        <v>-0.80414746543778803</v>
      </c>
    </row>
    <row r="64" spans="1:33" x14ac:dyDescent="0.25">
      <c r="A64" t="s">
        <v>39</v>
      </c>
      <c r="B64" t="s">
        <v>18</v>
      </c>
      <c r="C64" t="s">
        <v>38</v>
      </c>
      <c r="D64" s="1">
        <v>2317</v>
      </c>
      <c r="E64">
        <v>261</v>
      </c>
      <c r="F64">
        <v>6</v>
      </c>
      <c r="G64" s="2">
        <v>1694</v>
      </c>
      <c r="H64" s="1">
        <v>623</v>
      </c>
      <c r="I64" s="3">
        <f t="shared" si="0"/>
        <v>0.26888217522658608</v>
      </c>
      <c r="N64" t="s">
        <v>29</v>
      </c>
      <c r="O64" t="s">
        <v>13</v>
      </c>
      <c r="P64" t="s">
        <v>41</v>
      </c>
      <c r="Q64" s="1">
        <v>13391</v>
      </c>
      <c r="R64">
        <v>201</v>
      </c>
      <c r="S64">
        <v>12</v>
      </c>
      <c r="T64" s="2">
        <v>2358</v>
      </c>
      <c r="U64" s="1">
        <v>11033</v>
      </c>
      <c r="V64" s="3">
        <v>0.82391158240609363</v>
      </c>
      <c r="Y64" t="s">
        <v>17</v>
      </c>
      <c r="Z64" t="s">
        <v>13</v>
      </c>
      <c r="AA64" t="s">
        <v>40</v>
      </c>
      <c r="AB64" s="1">
        <v>609</v>
      </c>
      <c r="AC64">
        <v>99</v>
      </c>
      <c r="AD64">
        <v>8</v>
      </c>
      <c r="AE64">
        <v>756</v>
      </c>
      <c r="AF64" s="1">
        <v>-147</v>
      </c>
      <c r="AG64" s="3">
        <v>-0.2413793103448276</v>
      </c>
    </row>
    <row r="65" spans="1:33" x14ac:dyDescent="0.25">
      <c r="A65" t="s">
        <v>20</v>
      </c>
      <c r="B65" t="s">
        <v>24</v>
      </c>
      <c r="C65" t="s">
        <v>33</v>
      </c>
      <c r="D65" s="1">
        <v>938</v>
      </c>
      <c r="E65">
        <v>6</v>
      </c>
      <c r="F65">
        <v>9</v>
      </c>
      <c r="G65">
        <v>53</v>
      </c>
      <c r="H65" s="1">
        <v>885</v>
      </c>
      <c r="I65" s="3">
        <f t="shared" si="0"/>
        <v>0.94349680170575689</v>
      </c>
      <c r="N65" t="s">
        <v>12</v>
      </c>
      <c r="O65" t="s">
        <v>21</v>
      </c>
      <c r="P65" t="s">
        <v>25</v>
      </c>
      <c r="Q65" s="1">
        <v>8890</v>
      </c>
      <c r="R65">
        <v>210</v>
      </c>
      <c r="S65">
        <v>6</v>
      </c>
      <c r="T65" s="2">
        <v>1216</v>
      </c>
      <c r="U65" s="1">
        <v>7674</v>
      </c>
      <c r="V65" s="3">
        <v>0.86321709786276712</v>
      </c>
      <c r="Y65" t="s">
        <v>20</v>
      </c>
      <c r="Z65" t="s">
        <v>13</v>
      </c>
      <c r="AA65" t="s">
        <v>37</v>
      </c>
      <c r="AB65" s="1">
        <v>1071</v>
      </c>
      <c r="AC65">
        <v>270</v>
      </c>
      <c r="AD65">
        <v>11</v>
      </c>
      <c r="AE65" s="2">
        <v>2867</v>
      </c>
      <c r="AF65" s="1">
        <v>-1796</v>
      </c>
      <c r="AG65" s="3">
        <v>-1.676937441643324</v>
      </c>
    </row>
    <row r="66" spans="1:33" x14ac:dyDescent="0.25">
      <c r="A66" t="s">
        <v>12</v>
      </c>
      <c r="B66" t="s">
        <v>10</v>
      </c>
      <c r="C66" t="s">
        <v>41</v>
      </c>
      <c r="D66" s="1">
        <v>9709</v>
      </c>
      <c r="E66">
        <v>30</v>
      </c>
      <c r="F66">
        <v>12</v>
      </c>
      <c r="G66">
        <v>352</v>
      </c>
      <c r="H66" s="1">
        <v>9357</v>
      </c>
      <c r="I66" s="3">
        <f t="shared" si="0"/>
        <v>0.96374497888557009</v>
      </c>
      <c r="N66" t="s">
        <v>31</v>
      </c>
      <c r="O66" t="s">
        <v>18</v>
      </c>
      <c r="P66" t="s">
        <v>22</v>
      </c>
      <c r="Q66" s="1">
        <v>3339</v>
      </c>
      <c r="R66">
        <v>39</v>
      </c>
      <c r="S66">
        <v>13</v>
      </c>
      <c r="T66">
        <v>513</v>
      </c>
      <c r="U66" s="1">
        <v>2826</v>
      </c>
      <c r="V66" s="3">
        <v>0.84636118598382748</v>
      </c>
      <c r="Y66" t="s">
        <v>31</v>
      </c>
      <c r="Z66" t="s">
        <v>10</v>
      </c>
      <c r="AA66" t="s">
        <v>16</v>
      </c>
      <c r="AB66" s="1">
        <v>938</v>
      </c>
      <c r="AC66">
        <v>366</v>
      </c>
      <c r="AD66">
        <v>12</v>
      </c>
      <c r="AE66" s="2">
        <v>4348</v>
      </c>
      <c r="AF66" s="1">
        <v>-3410</v>
      </c>
      <c r="AG66" s="3">
        <v>-3.6353944562899785</v>
      </c>
    </row>
    <row r="67" spans="1:33" x14ac:dyDescent="0.25">
      <c r="A67" t="s">
        <v>27</v>
      </c>
      <c r="B67" t="s">
        <v>34</v>
      </c>
      <c r="C67" t="s">
        <v>37</v>
      </c>
      <c r="D67" s="1">
        <v>2205</v>
      </c>
      <c r="E67">
        <v>138</v>
      </c>
      <c r="F67">
        <v>11</v>
      </c>
      <c r="G67" s="2">
        <v>1466</v>
      </c>
      <c r="H67" s="1">
        <v>739</v>
      </c>
      <c r="I67" s="3">
        <f t="shared" ref="I67:I130" si="1">IFERROR(H67/D67, 0)</f>
        <v>0.33514739229024942</v>
      </c>
      <c r="N67" t="s">
        <v>39</v>
      </c>
      <c r="O67" t="s">
        <v>13</v>
      </c>
      <c r="P67" t="s">
        <v>19</v>
      </c>
      <c r="Q67" s="1">
        <v>3808</v>
      </c>
      <c r="R67">
        <v>279</v>
      </c>
      <c r="S67">
        <v>6</v>
      </c>
      <c r="T67" s="2">
        <v>1805</v>
      </c>
      <c r="U67" s="1">
        <v>2003</v>
      </c>
      <c r="V67" s="3">
        <v>0.52599789915966388</v>
      </c>
      <c r="Y67" t="s">
        <v>17</v>
      </c>
      <c r="Z67" t="s">
        <v>10</v>
      </c>
      <c r="AA67" t="s">
        <v>41</v>
      </c>
      <c r="AB67" s="1">
        <v>714</v>
      </c>
      <c r="AC67">
        <v>231</v>
      </c>
      <c r="AD67">
        <v>12</v>
      </c>
      <c r="AE67" s="2">
        <v>2710</v>
      </c>
      <c r="AF67" s="1">
        <v>-1996</v>
      </c>
      <c r="AG67" s="3">
        <v>-2.795518207282913</v>
      </c>
    </row>
    <row r="68" spans="1:33" x14ac:dyDescent="0.25">
      <c r="A68" t="s">
        <v>27</v>
      </c>
      <c r="B68" t="s">
        <v>10</v>
      </c>
      <c r="C68" t="s">
        <v>32</v>
      </c>
      <c r="D68" s="1">
        <v>4487</v>
      </c>
      <c r="E68">
        <v>111</v>
      </c>
      <c r="F68">
        <v>3</v>
      </c>
      <c r="G68">
        <v>345</v>
      </c>
      <c r="H68" s="1">
        <v>4142</v>
      </c>
      <c r="I68" s="3">
        <f t="shared" si="1"/>
        <v>0.92311121016269226</v>
      </c>
      <c r="N68" t="s">
        <v>30</v>
      </c>
      <c r="O68" t="s">
        <v>21</v>
      </c>
      <c r="P68" t="s">
        <v>43</v>
      </c>
      <c r="Q68" s="1">
        <v>7812</v>
      </c>
      <c r="R68">
        <v>81</v>
      </c>
      <c r="S68">
        <v>17</v>
      </c>
      <c r="T68" s="2">
        <v>1355</v>
      </c>
      <c r="U68" s="1">
        <v>6457</v>
      </c>
      <c r="V68" s="3">
        <v>0.82654889912954432</v>
      </c>
    </row>
    <row r="69" spans="1:33" x14ac:dyDescent="0.25">
      <c r="A69" t="s">
        <v>29</v>
      </c>
      <c r="B69" t="s">
        <v>13</v>
      </c>
      <c r="C69" t="s">
        <v>19</v>
      </c>
      <c r="D69" s="1">
        <v>2415</v>
      </c>
      <c r="E69">
        <v>15</v>
      </c>
      <c r="F69">
        <v>6</v>
      </c>
      <c r="G69">
        <v>97</v>
      </c>
      <c r="H69" s="1">
        <v>2318</v>
      </c>
      <c r="I69" s="3">
        <f t="shared" si="1"/>
        <v>0.95983436853002069</v>
      </c>
      <c r="N69" t="s">
        <v>9</v>
      </c>
      <c r="O69" t="s">
        <v>10</v>
      </c>
      <c r="P69" t="s">
        <v>40</v>
      </c>
      <c r="Q69" s="1">
        <v>7693</v>
      </c>
      <c r="R69">
        <v>21</v>
      </c>
      <c r="S69">
        <v>8</v>
      </c>
      <c r="T69">
        <v>160</v>
      </c>
      <c r="U69" s="1">
        <v>7533</v>
      </c>
      <c r="V69" s="3">
        <v>0.97920187183153518</v>
      </c>
    </row>
    <row r="70" spans="1:33" x14ac:dyDescent="0.25">
      <c r="A70" t="s">
        <v>9</v>
      </c>
      <c r="B70" t="s">
        <v>34</v>
      </c>
      <c r="C70" t="s">
        <v>40</v>
      </c>
      <c r="D70" s="1">
        <v>4018</v>
      </c>
      <c r="E70">
        <v>162</v>
      </c>
      <c r="F70">
        <v>8</v>
      </c>
      <c r="G70" s="2">
        <v>1238</v>
      </c>
      <c r="H70" s="1">
        <v>2780</v>
      </c>
      <c r="I70" s="3">
        <f t="shared" si="1"/>
        <v>0.69188651070184171</v>
      </c>
      <c r="N70" t="s">
        <v>39</v>
      </c>
      <c r="O70" t="s">
        <v>18</v>
      </c>
      <c r="P70" t="s">
        <v>36</v>
      </c>
      <c r="Q70" s="1">
        <v>2471</v>
      </c>
      <c r="R70">
        <v>342</v>
      </c>
      <c r="S70">
        <v>7</v>
      </c>
      <c r="T70" s="2">
        <v>2449</v>
      </c>
      <c r="U70" s="1">
        <v>22</v>
      </c>
      <c r="V70" s="3">
        <v>8.9032780250910565E-3</v>
      </c>
    </row>
    <row r="71" spans="1:33" x14ac:dyDescent="0.25">
      <c r="A71" t="s">
        <v>29</v>
      </c>
      <c r="B71" t="s">
        <v>34</v>
      </c>
      <c r="C71" t="s">
        <v>40</v>
      </c>
      <c r="D71" s="1">
        <v>861</v>
      </c>
      <c r="E71">
        <v>195</v>
      </c>
      <c r="F71">
        <v>8</v>
      </c>
      <c r="G71" s="2">
        <v>1490</v>
      </c>
      <c r="H71" s="1">
        <v>-629</v>
      </c>
      <c r="I71" s="3">
        <f t="shared" si="1"/>
        <v>-0.7305458768873403</v>
      </c>
      <c r="N71" t="s">
        <v>29</v>
      </c>
      <c r="O71" t="s">
        <v>24</v>
      </c>
      <c r="P71" t="s">
        <v>35</v>
      </c>
      <c r="Q71" s="1">
        <v>7189</v>
      </c>
      <c r="R71">
        <v>54</v>
      </c>
      <c r="S71">
        <v>9</v>
      </c>
      <c r="T71">
        <v>504</v>
      </c>
      <c r="U71" s="1">
        <v>6685</v>
      </c>
      <c r="V71" s="3">
        <v>0.92989289191820834</v>
      </c>
    </row>
    <row r="72" spans="1:33" x14ac:dyDescent="0.25">
      <c r="A72" t="s">
        <v>39</v>
      </c>
      <c r="B72" t="s">
        <v>24</v>
      </c>
      <c r="C72" t="s">
        <v>28</v>
      </c>
      <c r="D72" s="1">
        <v>5586</v>
      </c>
      <c r="E72">
        <v>525</v>
      </c>
      <c r="F72">
        <v>12</v>
      </c>
      <c r="G72" s="2">
        <v>6143</v>
      </c>
      <c r="H72" s="1">
        <v>-557</v>
      </c>
      <c r="I72" s="3">
        <f t="shared" si="1"/>
        <v>-9.9713569638381669E-2</v>
      </c>
      <c r="N72" t="s">
        <v>17</v>
      </c>
      <c r="O72" t="s">
        <v>13</v>
      </c>
      <c r="P72" t="s">
        <v>44</v>
      </c>
      <c r="Q72" s="1">
        <v>7455</v>
      </c>
      <c r="R72">
        <v>216</v>
      </c>
      <c r="S72">
        <v>10</v>
      </c>
      <c r="T72" s="2">
        <v>2242</v>
      </c>
      <c r="U72" s="1">
        <v>5213</v>
      </c>
      <c r="V72" s="3">
        <v>0.69926224010731053</v>
      </c>
    </row>
    <row r="73" spans="1:33" x14ac:dyDescent="0.25">
      <c r="A73" t="s">
        <v>27</v>
      </c>
      <c r="B73" t="s">
        <v>34</v>
      </c>
      <c r="C73" t="s">
        <v>23</v>
      </c>
      <c r="D73" s="1">
        <v>2226</v>
      </c>
      <c r="E73">
        <v>48</v>
      </c>
      <c r="F73">
        <v>12</v>
      </c>
      <c r="G73">
        <v>594</v>
      </c>
      <c r="H73" s="1">
        <v>1632</v>
      </c>
      <c r="I73" s="3">
        <f t="shared" si="1"/>
        <v>0.73315363881401618</v>
      </c>
      <c r="N73" t="s">
        <v>31</v>
      </c>
      <c r="O73" t="s">
        <v>34</v>
      </c>
      <c r="P73" t="s">
        <v>46</v>
      </c>
      <c r="Q73" s="1">
        <v>3108</v>
      </c>
      <c r="R73">
        <v>54</v>
      </c>
      <c r="S73">
        <v>6</v>
      </c>
      <c r="T73">
        <v>302</v>
      </c>
      <c r="U73" s="1">
        <v>2806</v>
      </c>
      <c r="V73" s="3">
        <v>0.90283140283140284</v>
      </c>
    </row>
    <row r="74" spans="1:33" x14ac:dyDescent="0.25">
      <c r="A74" t="s">
        <v>15</v>
      </c>
      <c r="B74" t="s">
        <v>34</v>
      </c>
      <c r="C74" t="s">
        <v>44</v>
      </c>
      <c r="D74" s="1">
        <v>14329</v>
      </c>
      <c r="E74">
        <v>150</v>
      </c>
      <c r="F74">
        <v>10</v>
      </c>
      <c r="G74" s="2">
        <v>1557</v>
      </c>
      <c r="H74" s="1">
        <v>12772</v>
      </c>
      <c r="I74" s="3">
        <f t="shared" si="1"/>
        <v>0.89133924209644777</v>
      </c>
      <c r="N74" t="s">
        <v>15</v>
      </c>
      <c r="O74" t="s">
        <v>10</v>
      </c>
      <c r="P74" t="s">
        <v>38</v>
      </c>
      <c r="Q74" s="1">
        <v>2737</v>
      </c>
      <c r="R74">
        <v>93</v>
      </c>
      <c r="S74">
        <v>6</v>
      </c>
      <c r="T74">
        <v>604</v>
      </c>
      <c r="U74" s="1">
        <v>2133</v>
      </c>
      <c r="V74" s="3">
        <v>0.77932042382170263</v>
      </c>
    </row>
    <row r="75" spans="1:33" x14ac:dyDescent="0.25">
      <c r="A75" t="s">
        <v>15</v>
      </c>
      <c r="B75" t="s">
        <v>34</v>
      </c>
      <c r="C75" t="s">
        <v>37</v>
      </c>
      <c r="D75" s="1">
        <v>8463</v>
      </c>
      <c r="E75">
        <v>492</v>
      </c>
      <c r="F75">
        <v>11</v>
      </c>
      <c r="G75" s="2">
        <v>5225</v>
      </c>
      <c r="H75" s="1">
        <v>3238</v>
      </c>
      <c r="I75" s="3">
        <f t="shared" si="1"/>
        <v>0.38260664067115679</v>
      </c>
      <c r="N75" t="s">
        <v>15</v>
      </c>
      <c r="O75" t="s">
        <v>10</v>
      </c>
      <c r="P75" t="s">
        <v>22</v>
      </c>
      <c r="Q75" s="1">
        <v>4305</v>
      </c>
      <c r="R75">
        <v>156</v>
      </c>
      <c r="S75">
        <v>13</v>
      </c>
      <c r="T75" s="2">
        <v>2051</v>
      </c>
      <c r="U75" s="1">
        <v>2254</v>
      </c>
      <c r="V75" s="3">
        <v>0.52357723577235771</v>
      </c>
    </row>
    <row r="76" spans="1:33" x14ac:dyDescent="0.25">
      <c r="A76" t="s">
        <v>29</v>
      </c>
      <c r="B76" t="s">
        <v>34</v>
      </c>
      <c r="C76" t="s">
        <v>36</v>
      </c>
      <c r="D76" s="1">
        <v>2891</v>
      </c>
      <c r="E76">
        <v>102</v>
      </c>
      <c r="F76">
        <v>7</v>
      </c>
      <c r="G76">
        <v>730</v>
      </c>
      <c r="H76" s="1">
        <v>2161</v>
      </c>
      <c r="I76" s="3">
        <f t="shared" si="1"/>
        <v>0.74749221722587345</v>
      </c>
      <c r="N76" t="s">
        <v>15</v>
      </c>
      <c r="O76" t="s">
        <v>24</v>
      </c>
      <c r="P76" t="s">
        <v>32</v>
      </c>
      <c r="Q76" s="1">
        <v>2408</v>
      </c>
      <c r="R76">
        <v>9</v>
      </c>
      <c r="S76">
        <v>3</v>
      </c>
      <c r="T76">
        <v>28</v>
      </c>
      <c r="U76" s="1">
        <v>2380</v>
      </c>
      <c r="V76" s="3">
        <v>0.98837209302325579</v>
      </c>
    </row>
    <row r="77" spans="1:33" x14ac:dyDescent="0.25">
      <c r="A77" t="s">
        <v>31</v>
      </c>
      <c r="B77" t="s">
        <v>18</v>
      </c>
      <c r="C77" t="s">
        <v>38</v>
      </c>
      <c r="D77" s="1">
        <v>3773</v>
      </c>
      <c r="E77">
        <v>165</v>
      </c>
      <c r="F77">
        <v>6</v>
      </c>
      <c r="G77" s="2">
        <v>1071</v>
      </c>
      <c r="H77" s="1">
        <v>2702</v>
      </c>
      <c r="I77" s="3">
        <f t="shared" si="1"/>
        <v>0.71614100185528762</v>
      </c>
      <c r="N77" t="s">
        <v>31</v>
      </c>
      <c r="O77" t="s">
        <v>18</v>
      </c>
      <c r="P77" t="s">
        <v>40</v>
      </c>
      <c r="Q77" s="1">
        <v>1281</v>
      </c>
      <c r="R77">
        <v>18</v>
      </c>
      <c r="S77">
        <v>8</v>
      </c>
      <c r="T77">
        <v>138</v>
      </c>
      <c r="U77" s="1">
        <v>1143</v>
      </c>
      <c r="V77" s="3">
        <v>0.89227166276346603</v>
      </c>
    </row>
    <row r="78" spans="1:33" x14ac:dyDescent="0.25">
      <c r="A78" t="s">
        <v>17</v>
      </c>
      <c r="B78" t="s">
        <v>18</v>
      </c>
      <c r="C78" t="s">
        <v>44</v>
      </c>
      <c r="D78" s="1">
        <v>854</v>
      </c>
      <c r="E78">
        <v>309</v>
      </c>
      <c r="F78">
        <v>10</v>
      </c>
      <c r="G78" s="2">
        <v>3207</v>
      </c>
      <c r="H78" s="1">
        <v>-2353</v>
      </c>
      <c r="I78" s="3">
        <f t="shared" si="1"/>
        <v>-2.7552693208430914</v>
      </c>
      <c r="N78" t="s">
        <v>9</v>
      </c>
      <c r="O78" t="s">
        <v>13</v>
      </c>
      <c r="P78" t="s">
        <v>14</v>
      </c>
      <c r="Q78" s="1">
        <v>12348</v>
      </c>
      <c r="R78">
        <v>234</v>
      </c>
      <c r="S78">
        <v>9</v>
      </c>
      <c r="T78" s="2">
        <v>2024</v>
      </c>
      <c r="U78" s="1">
        <v>10324</v>
      </c>
      <c r="V78" s="3">
        <v>0.8360868156786524</v>
      </c>
    </row>
    <row r="79" spans="1:33" x14ac:dyDescent="0.25">
      <c r="A79" t="s">
        <v>20</v>
      </c>
      <c r="B79" t="s">
        <v>18</v>
      </c>
      <c r="C79" t="s">
        <v>32</v>
      </c>
      <c r="D79" s="1">
        <v>4970</v>
      </c>
      <c r="E79">
        <v>156</v>
      </c>
      <c r="F79">
        <v>3</v>
      </c>
      <c r="G79">
        <v>485</v>
      </c>
      <c r="H79" s="1">
        <v>4485</v>
      </c>
      <c r="I79" s="3">
        <f t="shared" si="1"/>
        <v>0.90241448692152915</v>
      </c>
      <c r="N79" t="s">
        <v>31</v>
      </c>
      <c r="O79" t="s">
        <v>34</v>
      </c>
      <c r="P79" t="s">
        <v>44</v>
      </c>
      <c r="Q79" s="1">
        <v>3689</v>
      </c>
      <c r="R79">
        <v>312</v>
      </c>
      <c r="S79">
        <v>10</v>
      </c>
      <c r="T79" s="2">
        <v>3239</v>
      </c>
      <c r="U79" s="1">
        <v>450</v>
      </c>
      <c r="V79" s="3">
        <v>0.12198427758200055</v>
      </c>
    </row>
    <row r="80" spans="1:33" x14ac:dyDescent="0.25">
      <c r="A80" t="s">
        <v>15</v>
      </c>
      <c r="B80" t="s">
        <v>13</v>
      </c>
      <c r="C80" t="s">
        <v>46</v>
      </c>
      <c r="D80" s="1">
        <v>98</v>
      </c>
      <c r="E80">
        <v>159</v>
      </c>
      <c r="F80">
        <v>6</v>
      </c>
      <c r="G80">
        <v>890</v>
      </c>
      <c r="H80" s="1">
        <v>-792</v>
      </c>
      <c r="I80" s="3">
        <f t="shared" si="1"/>
        <v>-8.0816326530612237</v>
      </c>
      <c r="N80" t="s">
        <v>27</v>
      </c>
      <c r="O80" t="s">
        <v>18</v>
      </c>
      <c r="P80" t="s">
        <v>40</v>
      </c>
      <c r="Q80" s="1">
        <v>2870</v>
      </c>
      <c r="R80">
        <v>300</v>
      </c>
      <c r="S80">
        <v>8</v>
      </c>
      <c r="T80" s="2">
        <v>2292</v>
      </c>
      <c r="U80" s="1">
        <v>578</v>
      </c>
      <c r="V80" s="3">
        <v>0.2013937282229965</v>
      </c>
    </row>
    <row r="81" spans="1:22" x14ac:dyDescent="0.25">
      <c r="A81" t="s">
        <v>29</v>
      </c>
      <c r="B81" t="s">
        <v>13</v>
      </c>
      <c r="C81" t="s">
        <v>41</v>
      </c>
      <c r="D81" s="1">
        <v>13391</v>
      </c>
      <c r="E81">
        <v>201</v>
      </c>
      <c r="F81">
        <v>12</v>
      </c>
      <c r="G81" s="2">
        <v>2358</v>
      </c>
      <c r="H81" s="1">
        <v>11033</v>
      </c>
      <c r="I81" s="3">
        <f t="shared" si="1"/>
        <v>0.82391158240609363</v>
      </c>
      <c r="N81" t="s">
        <v>17</v>
      </c>
      <c r="O81" t="s">
        <v>10</v>
      </c>
      <c r="P81" t="s">
        <v>45</v>
      </c>
      <c r="Q81" s="1">
        <v>2933</v>
      </c>
      <c r="R81">
        <v>9</v>
      </c>
      <c r="S81">
        <v>9</v>
      </c>
      <c r="T81">
        <v>81</v>
      </c>
      <c r="U81" s="1">
        <v>2852</v>
      </c>
      <c r="V81" s="3">
        <v>0.97238322536651889</v>
      </c>
    </row>
    <row r="82" spans="1:22" x14ac:dyDescent="0.25">
      <c r="A82" t="s">
        <v>12</v>
      </c>
      <c r="B82" t="s">
        <v>21</v>
      </c>
      <c r="C82" t="s">
        <v>25</v>
      </c>
      <c r="D82" s="1">
        <v>8890</v>
      </c>
      <c r="E82">
        <v>210</v>
      </c>
      <c r="F82">
        <v>6</v>
      </c>
      <c r="G82" s="2">
        <v>1216</v>
      </c>
      <c r="H82" s="1">
        <v>7674</v>
      </c>
      <c r="I82" s="3">
        <f t="shared" si="1"/>
        <v>0.86321709786276712</v>
      </c>
      <c r="N82" t="s">
        <v>29</v>
      </c>
      <c r="O82" t="s">
        <v>13</v>
      </c>
      <c r="P82" t="s">
        <v>16</v>
      </c>
      <c r="Q82" s="1">
        <v>2744</v>
      </c>
      <c r="R82">
        <v>9</v>
      </c>
      <c r="S82">
        <v>12</v>
      </c>
      <c r="T82">
        <v>107</v>
      </c>
      <c r="U82" s="1">
        <v>2637</v>
      </c>
      <c r="V82" s="3">
        <v>0.9610058309037901</v>
      </c>
    </row>
    <row r="83" spans="1:22" x14ac:dyDescent="0.25">
      <c r="A83" t="s">
        <v>30</v>
      </c>
      <c r="B83" t="s">
        <v>24</v>
      </c>
      <c r="C83" t="s">
        <v>35</v>
      </c>
      <c r="D83" s="1">
        <v>56</v>
      </c>
      <c r="E83">
        <v>51</v>
      </c>
      <c r="F83">
        <v>9</v>
      </c>
      <c r="G83">
        <v>476</v>
      </c>
      <c r="H83" s="1">
        <v>-420</v>
      </c>
      <c r="I83" s="3">
        <f t="shared" si="1"/>
        <v>-7.5</v>
      </c>
      <c r="N83" t="s">
        <v>9</v>
      </c>
      <c r="O83" t="s">
        <v>18</v>
      </c>
      <c r="P83" t="s">
        <v>23</v>
      </c>
      <c r="Q83" s="1">
        <v>9772</v>
      </c>
      <c r="R83">
        <v>90</v>
      </c>
      <c r="S83">
        <v>12</v>
      </c>
      <c r="T83" s="2">
        <v>1113</v>
      </c>
      <c r="U83" s="1">
        <v>8659</v>
      </c>
      <c r="V83" s="3">
        <v>0.88610315186246413</v>
      </c>
    </row>
    <row r="84" spans="1:22" x14ac:dyDescent="0.25">
      <c r="A84" t="s">
        <v>31</v>
      </c>
      <c r="B84" t="s">
        <v>18</v>
      </c>
      <c r="C84" t="s">
        <v>22</v>
      </c>
      <c r="D84" s="1">
        <v>3339</v>
      </c>
      <c r="E84">
        <v>39</v>
      </c>
      <c r="F84">
        <v>13</v>
      </c>
      <c r="G84">
        <v>513</v>
      </c>
      <c r="H84" s="1">
        <v>2826</v>
      </c>
      <c r="I84" s="3">
        <f t="shared" si="1"/>
        <v>0.84636118598382748</v>
      </c>
      <c r="N84" t="s">
        <v>27</v>
      </c>
      <c r="O84" t="s">
        <v>34</v>
      </c>
      <c r="P84" t="s">
        <v>22</v>
      </c>
      <c r="Q84" s="1">
        <v>1568</v>
      </c>
      <c r="R84">
        <v>96</v>
      </c>
      <c r="S84">
        <v>13</v>
      </c>
      <c r="T84" s="2">
        <v>1262</v>
      </c>
      <c r="U84" s="1">
        <v>306</v>
      </c>
      <c r="V84" s="3">
        <v>0.1951530612244898</v>
      </c>
    </row>
    <row r="85" spans="1:22" x14ac:dyDescent="0.25">
      <c r="A85" t="s">
        <v>39</v>
      </c>
      <c r="B85" t="s">
        <v>13</v>
      </c>
      <c r="C85" t="s">
        <v>19</v>
      </c>
      <c r="D85" s="1">
        <v>3808</v>
      </c>
      <c r="E85">
        <v>279</v>
      </c>
      <c r="F85">
        <v>6</v>
      </c>
      <c r="G85" s="2">
        <v>1805</v>
      </c>
      <c r="H85" s="1">
        <v>2003</v>
      </c>
      <c r="I85" s="3">
        <f t="shared" si="1"/>
        <v>0.52599789915966388</v>
      </c>
      <c r="N85" t="s">
        <v>30</v>
      </c>
      <c r="O85" t="s">
        <v>18</v>
      </c>
      <c r="P85" t="s">
        <v>33</v>
      </c>
      <c r="Q85" s="1">
        <v>11417</v>
      </c>
      <c r="R85">
        <v>21</v>
      </c>
      <c r="S85">
        <v>9</v>
      </c>
      <c r="T85">
        <v>185</v>
      </c>
      <c r="U85" s="1">
        <v>11232</v>
      </c>
      <c r="V85" s="3">
        <v>0.98379609354471398</v>
      </c>
    </row>
    <row r="86" spans="1:22" x14ac:dyDescent="0.25">
      <c r="A86" t="s">
        <v>39</v>
      </c>
      <c r="B86" t="s">
        <v>24</v>
      </c>
      <c r="C86" t="s">
        <v>35</v>
      </c>
      <c r="D86" s="1">
        <v>63</v>
      </c>
      <c r="E86">
        <v>123</v>
      </c>
      <c r="F86">
        <v>9</v>
      </c>
      <c r="G86" s="2">
        <v>1148</v>
      </c>
      <c r="H86" s="1">
        <v>-1085</v>
      </c>
      <c r="I86" s="3">
        <f t="shared" si="1"/>
        <v>-17.222222222222221</v>
      </c>
      <c r="N86" t="s">
        <v>9</v>
      </c>
      <c r="O86" t="s">
        <v>34</v>
      </c>
      <c r="P86" t="s">
        <v>46</v>
      </c>
      <c r="Q86" s="1">
        <v>6748</v>
      </c>
      <c r="R86">
        <v>48</v>
      </c>
      <c r="S86">
        <v>6</v>
      </c>
      <c r="T86">
        <v>269</v>
      </c>
      <c r="U86" s="1">
        <v>6479</v>
      </c>
      <c r="V86" s="3">
        <v>0.96013633669235332</v>
      </c>
    </row>
    <row r="87" spans="1:22" x14ac:dyDescent="0.25">
      <c r="A87" t="s">
        <v>30</v>
      </c>
      <c r="B87" t="s">
        <v>21</v>
      </c>
      <c r="C87" t="s">
        <v>43</v>
      </c>
      <c r="D87" s="1">
        <v>7812</v>
      </c>
      <c r="E87">
        <v>81</v>
      </c>
      <c r="F87">
        <v>17</v>
      </c>
      <c r="G87" s="2">
        <v>1355</v>
      </c>
      <c r="H87" s="1">
        <v>6457</v>
      </c>
      <c r="I87" s="3">
        <f t="shared" si="1"/>
        <v>0.82654889912954432</v>
      </c>
      <c r="N87" t="s">
        <v>39</v>
      </c>
      <c r="O87" t="s">
        <v>18</v>
      </c>
      <c r="P87" t="s">
        <v>43</v>
      </c>
      <c r="Q87" s="1">
        <v>1407</v>
      </c>
      <c r="R87">
        <v>72</v>
      </c>
      <c r="S87">
        <v>17</v>
      </c>
      <c r="T87" s="2">
        <v>1205</v>
      </c>
      <c r="U87" s="1">
        <v>202</v>
      </c>
      <c r="V87" s="3">
        <v>0.14356787491115849</v>
      </c>
    </row>
    <row r="88" spans="1:22" x14ac:dyDescent="0.25">
      <c r="A88" t="s">
        <v>9</v>
      </c>
      <c r="B88" t="s">
        <v>10</v>
      </c>
      <c r="C88" t="s">
        <v>40</v>
      </c>
      <c r="D88" s="1">
        <v>7693</v>
      </c>
      <c r="E88">
        <v>21</v>
      </c>
      <c r="F88">
        <v>8</v>
      </c>
      <c r="G88">
        <v>160</v>
      </c>
      <c r="H88" s="1">
        <v>7533</v>
      </c>
      <c r="I88" s="3">
        <f t="shared" si="1"/>
        <v>0.97920187183153518</v>
      </c>
      <c r="N88" t="s">
        <v>12</v>
      </c>
      <c r="O88" t="s">
        <v>13</v>
      </c>
      <c r="P88" t="s">
        <v>36</v>
      </c>
      <c r="Q88" s="1">
        <v>2023</v>
      </c>
      <c r="R88">
        <v>168</v>
      </c>
      <c r="S88">
        <v>7</v>
      </c>
      <c r="T88" s="2">
        <v>1203</v>
      </c>
      <c r="U88" s="1">
        <v>820</v>
      </c>
      <c r="V88" s="3">
        <v>0.40533860603064753</v>
      </c>
    </row>
    <row r="89" spans="1:22" x14ac:dyDescent="0.25">
      <c r="A89" t="s">
        <v>31</v>
      </c>
      <c r="B89" t="s">
        <v>18</v>
      </c>
      <c r="C89" t="s">
        <v>44</v>
      </c>
      <c r="D89" s="1">
        <v>973</v>
      </c>
      <c r="E89">
        <v>162</v>
      </c>
      <c r="F89">
        <v>10</v>
      </c>
      <c r="G89" s="2">
        <v>1682</v>
      </c>
      <c r="H89" s="1">
        <v>-709</v>
      </c>
      <c r="I89" s="3">
        <f t="shared" si="1"/>
        <v>-0.72867420349434742</v>
      </c>
      <c r="N89" t="s">
        <v>29</v>
      </c>
      <c r="O89" t="s">
        <v>21</v>
      </c>
      <c r="P89" t="s">
        <v>46</v>
      </c>
      <c r="Q89" s="1">
        <v>5236</v>
      </c>
      <c r="R89">
        <v>51</v>
      </c>
      <c r="S89">
        <v>6</v>
      </c>
      <c r="T89">
        <v>286</v>
      </c>
      <c r="U89" s="1">
        <v>4950</v>
      </c>
      <c r="V89" s="3">
        <v>0.94537815126050417</v>
      </c>
    </row>
    <row r="90" spans="1:22" x14ac:dyDescent="0.25">
      <c r="A90" t="s">
        <v>39</v>
      </c>
      <c r="B90" t="s">
        <v>13</v>
      </c>
      <c r="C90" t="s">
        <v>45</v>
      </c>
      <c r="D90" s="1">
        <v>567</v>
      </c>
      <c r="E90">
        <v>228</v>
      </c>
      <c r="F90">
        <v>9</v>
      </c>
      <c r="G90" s="2">
        <v>2052</v>
      </c>
      <c r="H90" s="1">
        <v>-1485</v>
      </c>
      <c r="I90" s="3">
        <f t="shared" si="1"/>
        <v>-2.6190476190476191</v>
      </c>
      <c r="N90" t="s">
        <v>17</v>
      </c>
      <c r="O90" t="s">
        <v>18</v>
      </c>
      <c r="P90" t="s">
        <v>40</v>
      </c>
      <c r="Q90" s="1">
        <v>1925</v>
      </c>
      <c r="R90">
        <v>192</v>
      </c>
      <c r="S90">
        <v>8</v>
      </c>
      <c r="T90" s="2">
        <v>1467</v>
      </c>
      <c r="U90" s="1">
        <v>458</v>
      </c>
      <c r="V90" s="3">
        <v>0.23792207792207792</v>
      </c>
    </row>
    <row r="91" spans="1:22" x14ac:dyDescent="0.25">
      <c r="A91" t="s">
        <v>39</v>
      </c>
      <c r="B91" t="s">
        <v>18</v>
      </c>
      <c r="C91" t="s">
        <v>36</v>
      </c>
      <c r="D91" s="1">
        <v>2471</v>
      </c>
      <c r="E91">
        <v>342</v>
      </c>
      <c r="F91">
        <v>7</v>
      </c>
      <c r="G91" s="2">
        <v>2449</v>
      </c>
      <c r="H91" s="1">
        <v>22</v>
      </c>
      <c r="I91" s="3">
        <f t="shared" si="1"/>
        <v>8.9032780250910565E-3</v>
      </c>
      <c r="N91" t="s">
        <v>27</v>
      </c>
      <c r="O91" t="s">
        <v>10</v>
      </c>
      <c r="P91" t="s">
        <v>28</v>
      </c>
      <c r="Q91" s="1">
        <v>6608</v>
      </c>
      <c r="R91">
        <v>225</v>
      </c>
      <c r="S91">
        <v>12</v>
      </c>
      <c r="T91" s="2">
        <v>2633</v>
      </c>
      <c r="U91" s="1">
        <v>3976</v>
      </c>
      <c r="V91" s="3">
        <v>0.60169491525423724</v>
      </c>
    </row>
    <row r="92" spans="1:22" x14ac:dyDescent="0.25">
      <c r="A92" t="s">
        <v>29</v>
      </c>
      <c r="B92" t="s">
        <v>24</v>
      </c>
      <c r="C92" t="s">
        <v>35</v>
      </c>
      <c r="D92" s="1">
        <v>7189</v>
      </c>
      <c r="E92">
        <v>54</v>
      </c>
      <c r="F92">
        <v>9</v>
      </c>
      <c r="G92">
        <v>504</v>
      </c>
      <c r="H92" s="1">
        <v>6685</v>
      </c>
      <c r="I92" s="3">
        <f t="shared" si="1"/>
        <v>0.92989289191820834</v>
      </c>
      <c r="N92" t="s">
        <v>20</v>
      </c>
      <c r="O92" t="s">
        <v>34</v>
      </c>
      <c r="P92" t="s">
        <v>46</v>
      </c>
      <c r="Q92" s="1">
        <v>8008</v>
      </c>
      <c r="R92">
        <v>456</v>
      </c>
      <c r="S92">
        <v>6</v>
      </c>
      <c r="T92" s="2">
        <v>2554</v>
      </c>
      <c r="U92" s="1">
        <v>5454</v>
      </c>
      <c r="V92" s="3">
        <v>0.68106893106893107</v>
      </c>
    </row>
    <row r="93" spans="1:22" x14ac:dyDescent="0.25">
      <c r="A93" t="s">
        <v>17</v>
      </c>
      <c r="B93" t="s">
        <v>13</v>
      </c>
      <c r="C93" t="s">
        <v>44</v>
      </c>
      <c r="D93" s="1">
        <v>7455</v>
      </c>
      <c r="E93">
        <v>216</v>
      </c>
      <c r="F93">
        <v>10</v>
      </c>
      <c r="G93" s="2">
        <v>2242</v>
      </c>
      <c r="H93" s="1">
        <v>5213</v>
      </c>
      <c r="I93" s="3">
        <f t="shared" si="1"/>
        <v>0.69926224010731053</v>
      </c>
      <c r="N93" t="s">
        <v>39</v>
      </c>
      <c r="O93" t="s">
        <v>34</v>
      </c>
      <c r="P93" t="s">
        <v>22</v>
      </c>
      <c r="Q93" s="1">
        <v>1428</v>
      </c>
      <c r="R93">
        <v>93</v>
      </c>
      <c r="S93">
        <v>13</v>
      </c>
      <c r="T93" s="2">
        <v>1223</v>
      </c>
      <c r="U93" s="1">
        <v>205</v>
      </c>
      <c r="V93" s="3">
        <v>0.14355742296918766</v>
      </c>
    </row>
    <row r="94" spans="1:22" x14ac:dyDescent="0.25">
      <c r="A94" t="s">
        <v>31</v>
      </c>
      <c r="B94" t="s">
        <v>34</v>
      </c>
      <c r="C94" t="s">
        <v>46</v>
      </c>
      <c r="D94" s="1">
        <v>3108</v>
      </c>
      <c r="E94">
        <v>54</v>
      </c>
      <c r="F94">
        <v>6</v>
      </c>
      <c r="G94">
        <v>302</v>
      </c>
      <c r="H94" s="1">
        <v>2806</v>
      </c>
      <c r="I94" s="3">
        <f t="shared" si="1"/>
        <v>0.90283140283140284</v>
      </c>
      <c r="N94" t="s">
        <v>20</v>
      </c>
      <c r="O94" t="s">
        <v>10</v>
      </c>
      <c r="P94" t="s">
        <v>19</v>
      </c>
      <c r="Q94" s="1">
        <v>1505</v>
      </c>
      <c r="R94">
        <v>102</v>
      </c>
      <c r="S94">
        <v>6</v>
      </c>
      <c r="T94">
        <v>660</v>
      </c>
      <c r="U94" s="1">
        <v>845</v>
      </c>
      <c r="V94" s="3">
        <v>0.56146179401993357</v>
      </c>
    </row>
    <row r="95" spans="1:22" x14ac:dyDescent="0.25">
      <c r="A95" t="s">
        <v>20</v>
      </c>
      <c r="B95" t="s">
        <v>24</v>
      </c>
      <c r="C95" t="s">
        <v>22</v>
      </c>
      <c r="D95" s="1">
        <v>469</v>
      </c>
      <c r="E95">
        <v>75</v>
      </c>
      <c r="F95">
        <v>13</v>
      </c>
      <c r="G95">
        <v>986</v>
      </c>
      <c r="H95" s="1">
        <v>-517</v>
      </c>
      <c r="I95" s="3">
        <f t="shared" si="1"/>
        <v>-1.1023454157782515</v>
      </c>
      <c r="N95" t="s">
        <v>27</v>
      </c>
      <c r="O95" t="s">
        <v>13</v>
      </c>
      <c r="P95" t="s">
        <v>11</v>
      </c>
      <c r="Q95" s="1">
        <v>6755</v>
      </c>
      <c r="R95">
        <v>252</v>
      </c>
      <c r="S95">
        <v>14</v>
      </c>
      <c r="T95" s="2">
        <v>3651</v>
      </c>
      <c r="U95" s="1">
        <v>3104</v>
      </c>
      <c r="V95" s="3">
        <v>0.45951147298297557</v>
      </c>
    </row>
    <row r="96" spans="1:22" x14ac:dyDescent="0.25">
      <c r="A96" t="s">
        <v>15</v>
      </c>
      <c r="B96" t="s">
        <v>10</v>
      </c>
      <c r="C96" t="s">
        <v>38</v>
      </c>
      <c r="D96" s="1">
        <v>2737</v>
      </c>
      <c r="E96">
        <v>93</v>
      </c>
      <c r="F96">
        <v>6</v>
      </c>
      <c r="G96">
        <v>604</v>
      </c>
      <c r="H96" s="1">
        <v>2133</v>
      </c>
      <c r="I96" s="3">
        <f t="shared" si="1"/>
        <v>0.77932042382170263</v>
      </c>
      <c r="N96" t="s">
        <v>30</v>
      </c>
      <c r="O96" t="s">
        <v>10</v>
      </c>
      <c r="P96" t="s">
        <v>19</v>
      </c>
      <c r="Q96" s="1">
        <v>11571</v>
      </c>
      <c r="R96">
        <v>138</v>
      </c>
      <c r="S96">
        <v>6</v>
      </c>
      <c r="T96">
        <v>893</v>
      </c>
      <c r="U96" s="1">
        <v>10678</v>
      </c>
      <c r="V96" s="3">
        <v>0.92282430213464695</v>
      </c>
    </row>
    <row r="97" spans="1:22" x14ac:dyDescent="0.25">
      <c r="A97" t="s">
        <v>15</v>
      </c>
      <c r="B97" t="s">
        <v>10</v>
      </c>
      <c r="C97" t="s">
        <v>22</v>
      </c>
      <c r="D97" s="1">
        <v>4305</v>
      </c>
      <c r="E97">
        <v>156</v>
      </c>
      <c r="F97">
        <v>13</v>
      </c>
      <c r="G97" s="2">
        <v>2051</v>
      </c>
      <c r="H97" s="1">
        <v>2254</v>
      </c>
      <c r="I97" s="3">
        <f t="shared" si="1"/>
        <v>0.52357723577235771</v>
      </c>
      <c r="N97" t="s">
        <v>9</v>
      </c>
      <c r="O97" t="s">
        <v>24</v>
      </c>
      <c r="P97" t="s">
        <v>22</v>
      </c>
      <c r="Q97" s="1">
        <v>2541</v>
      </c>
      <c r="R97">
        <v>90</v>
      </c>
      <c r="S97">
        <v>13</v>
      </c>
      <c r="T97" s="2">
        <v>1184</v>
      </c>
      <c r="U97" s="1">
        <v>1358</v>
      </c>
      <c r="V97" s="3">
        <v>0.53443526170798894</v>
      </c>
    </row>
    <row r="98" spans="1:22" x14ac:dyDescent="0.25">
      <c r="A98" t="s">
        <v>15</v>
      </c>
      <c r="B98" t="s">
        <v>24</v>
      </c>
      <c r="C98" t="s">
        <v>32</v>
      </c>
      <c r="D98" s="1">
        <v>2408</v>
      </c>
      <c r="E98">
        <v>9</v>
      </c>
      <c r="F98">
        <v>3</v>
      </c>
      <c r="G98">
        <v>28</v>
      </c>
      <c r="H98" s="1">
        <v>2380</v>
      </c>
      <c r="I98" s="3">
        <f t="shared" si="1"/>
        <v>0.98837209302325579</v>
      </c>
      <c r="N98" t="s">
        <v>9</v>
      </c>
      <c r="O98" t="s">
        <v>24</v>
      </c>
      <c r="P98" t="s">
        <v>16</v>
      </c>
      <c r="Q98" s="1">
        <v>6125</v>
      </c>
      <c r="R98">
        <v>102</v>
      </c>
      <c r="S98">
        <v>12</v>
      </c>
      <c r="T98" s="2">
        <v>1212</v>
      </c>
      <c r="U98" s="1">
        <v>4913</v>
      </c>
      <c r="V98" s="3">
        <v>0.80212244897959184</v>
      </c>
    </row>
    <row r="99" spans="1:22" x14ac:dyDescent="0.25">
      <c r="A99" t="s">
        <v>31</v>
      </c>
      <c r="B99" t="s">
        <v>18</v>
      </c>
      <c r="C99" t="s">
        <v>40</v>
      </c>
      <c r="D99" s="1">
        <v>1281</v>
      </c>
      <c r="E99">
        <v>18</v>
      </c>
      <c r="F99">
        <v>8</v>
      </c>
      <c r="G99">
        <v>138</v>
      </c>
      <c r="H99" s="1">
        <v>1143</v>
      </c>
      <c r="I99" s="3">
        <f t="shared" si="1"/>
        <v>0.89227166276346603</v>
      </c>
      <c r="N99" t="s">
        <v>27</v>
      </c>
      <c r="O99" t="s">
        <v>13</v>
      </c>
      <c r="P99" t="s">
        <v>42</v>
      </c>
      <c r="Q99" s="1">
        <v>2793</v>
      </c>
      <c r="R99">
        <v>114</v>
      </c>
      <c r="S99">
        <v>5</v>
      </c>
      <c r="T99">
        <v>567</v>
      </c>
      <c r="U99" s="1">
        <v>2226</v>
      </c>
      <c r="V99" s="3">
        <v>0.79699248120300747</v>
      </c>
    </row>
    <row r="100" spans="1:22" x14ac:dyDescent="0.25">
      <c r="A100" t="s">
        <v>9</v>
      </c>
      <c r="B100" t="s">
        <v>13</v>
      </c>
      <c r="C100" t="s">
        <v>14</v>
      </c>
      <c r="D100" s="1">
        <v>12348</v>
      </c>
      <c r="E100">
        <v>234</v>
      </c>
      <c r="F100">
        <v>9</v>
      </c>
      <c r="G100" s="2">
        <v>2024</v>
      </c>
      <c r="H100" s="1">
        <v>10324</v>
      </c>
      <c r="I100" s="3">
        <f t="shared" si="1"/>
        <v>0.8360868156786524</v>
      </c>
      <c r="N100" t="s">
        <v>27</v>
      </c>
      <c r="O100" t="s">
        <v>13</v>
      </c>
      <c r="P100" t="s">
        <v>28</v>
      </c>
      <c r="Q100" s="1">
        <v>4606</v>
      </c>
      <c r="R100">
        <v>63</v>
      </c>
      <c r="S100">
        <v>12</v>
      </c>
      <c r="T100">
        <v>737</v>
      </c>
      <c r="U100" s="1">
        <v>3869</v>
      </c>
      <c r="V100" s="3">
        <v>0.83999131567520624</v>
      </c>
    </row>
    <row r="101" spans="1:22" x14ac:dyDescent="0.25">
      <c r="A101" t="s">
        <v>31</v>
      </c>
      <c r="B101" t="s">
        <v>34</v>
      </c>
      <c r="C101" t="s">
        <v>44</v>
      </c>
      <c r="D101" s="1">
        <v>3689</v>
      </c>
      <c r="E101">
        <v>312</v>
      </c>
      <c r="F101">
        <v>10</v>
      </c>
      <c r="G101" s="2">
        <v>3239</v>
      </c>
      <c r="H101" s="1">
        <v>450</v>
      </c>
      <c r="I101" s="3">
        <f t="shared" si="1"/>
        <v>0.12198427758200055</v>
      </c>
      <c r="N101" t="s">
        <v>27</v>
      </c>
      <c r="O101" t="s">
        <v>18</v>
      </c>
      <c r="P101" t="s">
        <v>36</v>
      </c>
      <c r="Q101" s="1">
        <v>5551</v>
      </c>
      <c r="R101">
        <v>252</v>
      </c>
      <c r="S101">
        <v>7</v>
      </c>
      <c r="T101" s="2">
        <v>1804</v>
      </c>
      <c r="U101" s="1">
        <v>3747</v>
      </c>
      <c r="V101" s="3">
        <v>0.6750135110790848</v>
      </c>
    </row>
    <row r="102" spans="1:22" x14ac:dyDescent="0.25">
      <c r="A102" t="s">
        <v>27</v>
      </c>
      <c r="B102" t="s">
        <v>18</v>
      </c>
      <c r="C102" t="s">
        <v>40</v>
      </c>
      <c r="D102" s="1">
        <v>2870</v>
      </c>
      <c r="E102">
        <v>300</v>
      </c>
      <c r="F102">
        <v>8</v>
      </c>
      <c r="G102" s="2">
        <v>2292</v>
      </c>
      <c r="H102" s="1">
        <v>578</v>
      </c>
      <c r="I102" s="3">
        <f t="shared" si="1"/>
        <v>0.2013937282229965</v>
      </c>
      <c r="N102" t="s">
        <v>39</v>
      </c>
      <c r="O102" t="s">
        <v>18</v>
      </c>
      <c r="P102" t="s">
        <v>14</v>
      </c>
      <c r="Q102" s="1">
        <v>6657</v>
      </c>
      <c r="R102">
        <v>303</v>
      </c>
      <c r="S102">
        <v>9</v>
      </c>
      <c r="T102" s="2">
        <v>2621</v>
      </c>
      <c r="U102" s="1">
        <v>4036</v>
      </c>
      <c r="V102" s="3">
        <v>0.60627910470181767</v>
      </c>
    </row>
    <row r="103" spans="1:22" x14ac:dyDescent="0.25">
      <c r="A103" t="s">
        <v>30</v>
      </c>
      <c r="B103" t="s">
        <v>18</v>
      </c>
      <c r="C103" t="s">
        <v>43</v>
      </c>
      <c r="D103" s="1">
        <v>798</v>
      </c>
      <c r="E103">
        <v>519</v>
      </c>
      <c r="F103">
        <v>17</v>
      </c>
      <c r="G103" s="2">
        <v>8683</v>
      </c>
      <c r="H103" s="1">
        <v>-7885</v>
      </c>
      <c r="I103" s="3">
        <f t="shared" si="1"/>
        <v>-9.8809523809523814</v>
      </c>
      <c r="N103" t="s">
        <v>27</v>
      </c>
      <c r="O103" t="s">
        <v>21</v>
      </c>
      <c r="P103" t="s">
        <v>32</v>
      </c>
      <c r="Q103" s="1">
        <v>4438</v>
      </c>
      <c r="R103">
        <v>246</v>
      </c>
      <c r="S103">
        <v>3</v>
      </c>
      <c r="T103">
        <v>765</v>
      </c>
      <c r="U103" s="1">
        <v>3673</v>
      </c>
      <c r="V103" s="3">
        <v>0.82762505633168093</v>
      </c>
    </row>
    <row r="104" spans="1:22" x14ac:dyDescent="0.25">
      <c r="A104" t="s">
        <v>17</v>
      </c>
      <c r="B104" t="s">
        <v>10</v>
      </c>
      <c r="C104" t="s">
        <v>45</v>
      </c>
      <c r="D104" s="1">
        <v>2933</v>
      </c>
      <c r="E104">
        <v>9</v>
      </c>
      <c r="F104">
        <v>9</v>
      </c>
      <c r="G104">
        <v>81</v>
      </c>
      <c r="H104" s="1">
        <v>2852</v>
      </c>
      <c r="I104" s="3">
        <f t="shared" si="1"/>
        <v>0.97238322536651889</v>
      </c>
      <c r="N104" t="s">
        <v>27</v>
      </c>
      <c r="O104" t="s">
        <v>34</v>
      </c>
      <c r="P104" t="s">
        <v>32</v>
      </c>
      <c r="Q104" s="1">
        <v>7777</v>
      </c>
      <c r="R104">
        <v>39</v>
      </c>
      <c r="S104">
        <v>3</v>
      </c>
      <c r="T104">
        <v>121</v>
      </c>
      <c r="U104" s="1">
        <v>7656</v>
      </c>
      <c r="V104" s="3">
        <v>0.98444130127298446</v>
      </c>
    </row>
    <row r="105" spans="1:22" x14ac:dyDescent="0.25">
      <c r="A105" t="s">
        <v>29</v>
      </c>
      <c r="B105" t="s">
        <v>13</v>
      </c>
      <c r="C105" t="s">
        <v>16</v>
      </c>
      <c r="D105" s="1">
        <v>2744</v>
      </c>
      <c r="E105">
        <v>9</v>
      </c>
      <c r="F105">
        <v>12</v>
      </c>
      <c r="G105">
        <v>107</v>
      </c>
      <c r="H105" s="1">
        <v>2637</v>
      </c>
      <c r="I105" s="3">
        <f t="shared" si="1"/>
        <v>0.9610058309037901</v>
      </c>
      <c r="N105" t="s">
        <v>29</v>
      </c>
      <c r="O105" t="s">
        <v>18</v>
      </c>
      <c r="P105" t="s">
        <v>32</v>
      </c>
      <c r="Q105" s="1">
        <v>3339</v>
      </c>
      <c r="R105">
        <v>348</v>
      </c>
      <c r="S105">
        <v>3</v>
      </c>
      <c r="T105" s="2">
        <v>1082</v>
      </c>
      <c r="U105" s="1">
        <v>2257</v>
      </c>
      <c r="V105" s="3">
        <v>0.67595088349805332</v>
      </c>
    </row>
    <row r="106" spans="1:22" x14ac:dyDescent="0.25">
      <c r="A106" t="s">
        <v>9</v>
      </c>
      <c r="B106" t="s">
        <v>18</v>
      </c>
      <c r="C106" t="s">
        <v>23</v>
      </c>
      <c r="D106" s="1">
        <v>9772</v>
      </c>
      <c r="E106">
        <v>90</v>
      </c>
      <c r="F106">
        <v>12</v>
      </c>
      <c r="G106" s="2">
        <v>1113</v>
      </c>
      <c r="H106" s="1">
        <v>8659</v>
      </c>
      <c r="I106" s="3">
        <f t="shared" si="1"/>
        <v>0.88610315186246413</v>
      </c>
      <c r="N106" t="s">
        <v>27</v>
      </c>
      <c r="O106" t="s">
        <v>10</v>
      </c>
      <c r="P106" t="s">
        <v>23</v>
      </c>
      <c r="Q106" s="1">
        <v>6391</v>
      </c>
      <c r="R106">
        <v>48</v>
      </c>
      <c r="S106">
        <v>12</v>
      </c>
      <c r="T106">
        <v>594</v>
      </c>
      <c r="U106" s="1">
        <v>5797</v>
      </c>
      <c r="V106" s="3">
        <v>0.90705679862306365</v>
      </c>
    </row>
    <row r="107" spans="1:22" x14ac:dyDescent="0.25">
      <c r="A107" t="s">
        <v>27</v>
      </c>
      <c r="B107" t="s">
        <v>34</v>
      </c>
      <c r="C107" t="s">
        <v>22</v>
      </c>
      <c r="D107" s="1">
        <v>1568</v>
      </c>
      <c r="E107">
        <v>96</v>
      </c>
      <c r="F107">
        <v>13</v>
      </c>
      <c r="G107" s="2">
        <v>1262</v>
      </c>
      <c r="H107" s="1">
        <v>306</v>
      </c>
      <c r="I107" s="3">
        <f t="shared" si="1"/>
        <v>0.1951530612244898</v>
      </c>
      <c r="N107" t="s">
        <v>27</v>
      </c>
      <c r="O107" t="s">
        <v>24</v>
      </c>
      <c r="P107" t="s">
        <v>44</v>
      </c>
      <c r="Q107" s="1">
        <v>5677</v>
      </c>
      <c r="R107">
        <v>258</v>
      </c>
      <c r="S107">
        <v>10</v>
      </c>
      <c r="T107" s="2">
        <v>2678</v>
      </c>
      <c r="U107" s="1">
        <v>2999</v>
      </c>
      <c r="V107" s="3">
        <v>0.52827197463449005</v>
      </c>
    </row>
    <row r="108" spans="1:22" x14ac:dyDescent="0.25">
      <c r="A108" t="s">
        <v>30</v>
      </c>
      <c r="B108" t="s">
        <v>18</v>
      </c>
      <c r="C108" t="s">
        <v>33</v>
      </c>
      <c r="D108" s="1">
        <v>11417</v>
      </c>
      <c r="E108">
        <v>21</v>
      </c>
      <c r="F108">
        <v>9</v>
      </c>
      <c r="G108">
        <v>185</v>
      </c>
      <c r="H108" s="1">
        <v>11232</v>
      </c>
      <c r="I108" s="3">
        <f t="shared" si="1"/>
        <v>0.98379609354471398</v>
      </c>
      <c r="N108" t="s">
        <v>20</v>
      </c>
      <c r="O108" t="s">
        <v>21</v>
      </c>
      <c r="P108" t="s">
        <v>32</v>
      </c>
      <c r="Q108" s="1">
        <v>6048</v>
      </c>
      <c r="R108">
        <v>27</v>
      </c>
      <c r="S108">
        <v>3</v>
      </c>
      <c r="T108">
        <v>84</v>
      </c>
      <c r="U108" s="1">
        <v>5964</v>
      </c>
      <c r="V108" s="3">
        <v>0.98611111111111116</v>
      </c>
    </row>
    <row r="109" spans="1:22" x14ac:dyDescent="0.25">
      <c r="A109" t="s">
        <v>9</v>
      </c>
      <c r="B109" t="s">
        <v>34</v>
      </c>
      <c r="C109" t="s">
        <v>46</v>
      </c>
      <c r="D109" s="1">
        <v>6748</v>
      </c>
      <c r="E109">
        <v>48</v>
      </c>
      <c r="F109">
        <v>6</v>
      </c>
      <c r="G109">
        <v>269</v>
      </c>
      <c r="H109" s="1">
        <v>6479</v>
      </c>
      <c r="I109" s="3">
        <f t="shared" si="1"/>
        <v>0.96013633669235332</v>
      </c>
      <c r="N109" t="s">
        <v>12</v>
      </c>
      <c r="O109" t="s">
        <v>24</v>
      </c>
      <c r="P109" t="s">
        <v>14</v>
      </c>
      <c r="Q109" s="1">
        <v>3752</v>
      </c>
      <c r="R109">
        <v>213</v>
      </c>
      <c r="S109">
        <v>9</v>
      </c>
      <c r="T109" s="2">
        <v>1842</v>
      </c>
      <c r="U109" s="1">
        <v>1910</v>
      </c>
      <c r="V109" s="3">
        <v>0.50906183368869939</v>
      </c>
    </row>
    <row r="110" spans="1:22" x14ac:dyDescent="0.25">
      <c r="A110" t="s">
        <v>39</v>
      </c>
      <c r="B110" t="s">
        <v>18</v>
      </c>
      <c r="C110" t="s">
        <v>43</v>
      </c>
      <c r="D110" s="1">
        <v>1407</v>
      </c>
      <c r="E110">
        <v>72</v>
      </c>
      <c r="F110">
        <v>17</v>
      </c>
      <c r="G110" s="2">
        <v>1205</v>
      </c>
      <c r="H110" s="1">
        <v>202</v>
      </c>
      <c r="I110" s="3">
        <f t="shared" si="1"/>
        <v>0.14356787491115849</v>
      </c>
      <c r="N110" t="s">
        <v>29</v>
      </c>
      <c r="O110" t="s">
        <v>13</v>
      </c>
      <c r="P110" t="s">
        <v>36</v>
      </c>
      <c r="Q110" s="1">
        <v>4480</v>
      </c>
      <c r="R110">
        <v>357</v>
      </c>
      <c r="S110">
        <v>7</v>
      </c>
      <c r="T110" s="2">
        <v>2556</v>
      </c>
      <c r="U110" s="1">
        <v>1924</v>
      </c>
      <c r="V110" s="3">
        <v>0.42946428571428569</v>
      </c>
    </row>
    <row r="111" spans="1:22" x14ac:dyDescent="0.25">
      <c r="A111" t="s">
        <v>12</v>
      </c>
      <c r="B111" t="s">
        <v>13</v>
      </c>
      <c r="C111" t="s">
        <v>36</v>
      </c>
      <c r="D111" s="1">
        <v>2023</v>
      </c>
      <c r="E111">
        <v>168</v>
      </c>
      <c r="F111">
        <v>7</v>
      </c>
      <c r="G111" s="2">
        <v>1203</v>
      </c>
      <c r="H111" s="1">
        <v>820</v>
      </c>
      <c r="I111" s="3">
        <f t="shared" si="1"/>
        <v>0.40533860603064753</v>
      </c>
      <c r="N111" t="s">
        <v>27</v>
      </c>
      <c r="O111" t="s">
        <v>13</v>
      </c>
      <c r="P111" t="s">
        <v>43</v>
      </c>
      <c r="Q111" s="1">
        <v>2478</v>
      </c>
      <c r="R111">
        <v>21</v>
      </c>
      <c r="S111">
        <v>17</v>
      </c>
      <c r="T111">
        <v>351</v>
      </c>
      <c r="U111" s="1">
        <v>2127</v>
      </c>
      <c r="V111" s="3">
        <v>0.85835351089588374</v>
      </c>
    </row>
    <row r="112" spans="1:22" x14ac:dyDescent="0.25">
      <c r="A112" t="s">
        <v>29</v>
      </c>
      <c r="B112" t="s">
        <v>21</v>
      </c>
      <c r="C112" t="s">
        <v>46</v>
      </c>
      <c r="D112" s="1">
        <v>5236</v>
      </c>
      <c r="E112">
        <v>51</v>
      </c>
      <c r="F112">
        <v>6</v>
      </c>
      <c r="G112">
        <v>286</v>
      </c>
      <c r="H112" s="1">
        <v>4950</v>
      </c>
      <c r="I112" s="3">
        <f t="shared" si="1"/>
        <v>0.94537815126050417</v>
      </c>
      <c r="N112" t="s">
        <v>17</v>
      </c>
      <c r="O112" t="s">
        <v>34</v>
      </c>
      <c r="P112" t="s">
        <v>23</v>
      </c>
      <c r="Q112" s="1">
        <v>7847</v>
      </c>
      <c r="R112">
        <v>174</v>
      </c>
      <c r="S112">
        <v>12</v>
      </c>
      <c r="T112" s="2">
        <v>2152</v>
      </c>
      <c r="U112" s="1">
        <v>5695</v>
      </c>
      <c r="V112" s="3">
        <v>0.72575506563017711</v>
      </c>
    </row>
    <row r="113" spans="1:22" x14ac:dyDescent="0.25">
      <c r="A113" t="s">
        <v>17</v>
      </c>
      <c r="B113" t="s">
        <v>18</v>
      </c>
      <c r="C113" t="s">
        <v>40</v>
      </c>
      <c r="D113" s="1">
        <v>1925</v>
      </c>
      <c r="E113">
        <v>192</v>
      </c>
      <c r="F113">
        <v>8</v>
      </c>
      <c r="G113" s="2">
        <v>1467</v>
      </c>
      <c r="H113" s="1">
        <v>458</v>
      </c>
      <c r="I113" s="3">
        <f t="shared" si="1"/>
        <v>0.23792207792207792</v>
      </c>
      <c r="N113" t="s">
        <v>30</v>
      </c>
      <c r="O113" t="s">
        <v>10</v>
      </c>
      <c r="P113" t="s">
        <v>32</v>
      </c>
      <c r="Q113" s="1">
        <v>9926</v>
      </c>
      <c r="R113">
        <v>201</v>
      </c>
      <c r="S113">
        <v>3</v>
      </c>
      <c r="T113">
        <v>625</v>
      </c>
      <c r="U113" s="1">
        <v>9301</v>
      </c>
      <c r="V113" s="3">
        <v>0.9370340519846867</v>
      </c>
    </row>
    <row r="114" spans="1:22" x14ac:dyDescent="0.25">
      <c r="A114" t="s">
        <v>27</v>
      </c>
      <c r="B114" t="s">
        <v>10</v>
      </c>
      <c r="C114" t="s">
        <v>28</v>
      </c>
      <c r="D114" s="1">
        <v>6608</v>
      </c>
      <c r="E114">
        <v>225</v>
      </c>
      <c r="F114">
        <v>12</v>
      </c>
      <c r="G114" s="2">
        <v>2633</v>
      </c>
      <c r="H114" s="1">
        <v>3976</v>
      </c>
      <c r="I114" s="3">
        <f t="shared" si="1"/>
        <v>0.60169491525423724</v>
      </c>
      <c r="N114" t="s">
        <v>20</v>
      </c>
      <c r="O114" t="s">
        <v>21</v>
      </c>
      <c r="P114" t="s">
        <v>36</v>
      </c>
      <c r="Q114" s="1">
        <v>3052</v>
      </c>
      <c r="R114">
        <v>378</v>
      </c>
      <c r="S114">
        <v>7</v>
      </c>
      <c r="T114" s="2">
        <v>2706</v>
      </c>
      <c r="U114" s="1">
        <v>346</v>
      </c>
      <c r="V114" s="3">
        <v>0.11336828309305373</v>
      </c>
    </row>
    <row r="115" spans="1:22" x14ac:dyDescent="0.25">
      <c r="A115" t="s">
        <v>20</v>
      </c>
      <c r="B115" t="s">
        <v>34</v>
      </c>
      <c r="C115" t="s">
        <v>46</v>
      </c>
      <c r="D115" s="1">
        <v>8008</v>
      </c>
      <c r="E115">
        <v>456</v>
      </c>
      <c r="F115">
        <v>6</v>
      </c>
      <c r="G115" s="2">
        <v>2554</v>
      </c>
      <c r="H115" s="1">
        <v>5454</v>
      </c>
      <c r="I115" s="3">
        <f t="shared" si="1"/>
        <v>0.68106893106893107</v>
      </c>
      <c r="N115" t="s">
        <v>15</v>
      </c>
      <c r="O115" t="s">
        <v>34</v>
      </c>
      <c r="P115" t="s">
        <v>45</v>
      </c>
      <c r="Q115" s="1">
        <v>6832</v>
      </c>
      <c r="R115">
        <v>27</v>
      </c>
      <c r="S115">
        <v>9</v>
      </c>
      <c r="T115">
        <v>243</v>
      </c>
      <c r="U115" s="1">
        <v>6589</v>
      </c>
      <c r="V115" s="3">
        <v>0.96443208430913352</v>
      </c>
    </row>
    <row r="116" spans="1:22" x14ac:dyDescent="0.25">
      <c r="A116" t="s">
        <v>39</v>
      </c>
      <c r="B116" t="s">
        <v>34</v>
      </c>
      <c r="C116" t="s">
        <v>22</v>
      </c>
      <c r="D116" s="1">
        <v>1428</v>
      </c>
      <c r="E116">
        <v>93</v>
      </c>
      <c r="F116">
        <v>13</v>
      </c>
      <c r="G116" s="2">
        <v>1223</v>
      </c>
      <c r="H116" s="1">
        <v>205</v>
      </c>
      <c r="I116" s="3">
        <f t="shared" si="1"/>
        <v>0.14355742296918766</v>
      </c>
      <c r="N116" t="s">
        <v>30</v>
      </c>
      <c r="O116" t="s">
        <v>21</v>
      </c>
      <c r="P116" t="s">
        <v>33</v>
      </c>
      <c r="Q116" s="1">
        <v>2016</v>
      </c>
      <c r="R116">
        <v>117</v>
      </c>
      <c r="S116">
        <v>9</v>
      </c>
      <c r="T116" s="2">
        <v>1028</v>
      </c>
      <c r="U116" s="1">
        <v>988</v>
      </c>
      <c r="V116" s="3">
        <v>0.49007936507936506</v>
      </c>
    </row>
    <row r="117" spans="1:22" x14ac:dyDescent="0.25">
      <c r="A117" t="s">
        <v>20</v>
      </c>
      <c r="B117" t="s">
        <v>34</v>
      </c>
      <c r="C117" t="s">
        <v>16</v>
      </c>
      <c r="D117" s="1">
        <v>525</v>
      </c>
      <c r="E117">
        <v>48</v>
      </c>
      <c r="F117">
        <v>12</v>
      </c>
      <c r="G117">
        <v>570</v>
      </c>
      <c r="H117" s="1">
        <v>-45</v>
      </c>
      <c r="I117" s="3">
        <f t="shared" si="1"/>
        <v>-8.5714285714285715E-2</v>
      </c>
      <c r="N117" t="s">
        <v>20</v>
      </c>
      <c r="O117" t="s">
        <v>24</v>
      </c>
      <c r="P117" t="s">
        <v>45</v>
      </c>
      <c r="Q117" s="1">
        <v>7322</v>
      </c>
      <c r="R117">
        <v>36</v>
      </c>
      <c r="S117">
        <v>9</v>
      </c>
      <c r="T117">
        <v>324</v>
      </c>
      <c r="U117" s="1">
        <v>6998</v>
      </c>
      <c r="V117" s="3">
        <v>0.95574979513794045</v>
      </c>
    </row>
    <row r="118" spans="1:22" x14ac:dyDescent="0.25">
      <c r="A118" t="s">
        <v>20</v>
      </c>
      <c r="B118" t="s">
        <v>10</v>
      </c>
      <c r="C118" t="s">
        <v>19</v>
      </c>
      <c r="D118" s="1">
        <v>1505</v>
      </c>
      <c r="E118">
        <v>102</v>
      </c>
      <c r="F118">
        <v>6</v>
      </c>
      <c r="G118">
        <v>660</v>
      </c>
      <c r="H118" s="1">
        <v>845</v>
      </c>
      <c r="I118" s="3">
        <f t="shared" si="1"/>
        <v>0.56146179401993357</v>
      </c>
      <c r="N118" t="s">
        <v>15</v>
      </c>
      <c r="O118" t="s">
        <v>21</v>
      </c>
      <c r="P118" t="s">
        <v>22</v>
      </c>
      <c r="Q118" s="1">
        <v>3192</v>
      </c>
      <c r="R118">
        <v>72</v>
      </c>
      <c r="S118">
        <v>13</v>
      </c>
      <c r="T118">
        <v>947</v>
      </c>
      <c r="U118" s="1">
        <v>2245</v>
      </c>
      <c r="V118" s="3">
        <v>0.70332080200501257</v>
      </c>
    </row>
    <row r="119" spans="1:22" x14ac:dyDescent="0.25">
      <c r="A119" t="s">
        <v>27</v>
      </c>
      <c r="B119" t="s">
        <v>13</v>
      </c>
      <c r="C119" t="s">
        <v>11</v>
      </c>
      <c r="D119" s="1">
        <v>6755</v>
      </c>
      <c r="E119">
        <v>252</v>
      </c>
      <c r="F119">
        <v>14</v>
      </c>
      <c r="G119" s="2">
        <v>3651</v>
      </c>
      <c r="H119" s="1">
        <v>3104</v>
      </c>
      <c r="I119" s="3">
        <f t="shared" si="1"/>
        <v>0.45951147298297557</v>
      </c>
      <c r="N119" t="s">
        <v>27</v>
      </c>
      <c r="O119" t="s">
        <v>18</v>
      </c>
      <c r="P119" t="s">
        <v>26</v>
      </c>
      <c r="Q119" s="1">
        <v>8435</v>
      </c>
      <c r="R119">
        <v>42</v>
      </c>
      <c r="S119">
        <v>10</v>
      </c>
      <c r="T119">
        <v>410</v>
      </c>
      <c r="U119" s="1">
        <v>8025</v>
      </c>
      <c r="V119" s="3">
        <v>0.951393005334914</v>
      </c>
    </row>
    <row r="120" spans="1:22" x14ac:dyDescent="0.25">
      <c r="A120" t="s">
        <v>30</v>
      </c>
      <c r="B120" t="s">
        <v>10</v>
      </c>
      <c r="C120" t="s">
        <v>19</v>
      </c>
      <c r="D120" s="1">
        <v>11571</v>
      </c>
      <c r="E120">
        <v>138</v>
      </c>
      <c r="F120">
        <v>6</v>
      </c>
      <c r="G120">
        <v>893</v>
      </c>
      <c r="H120" s="1">
        <v>10678</v>
      </c>
      <c r="I120" s="3">
        <f t="shared" si="1"/>
        <v>0.92282430213464695</v>
      </c>
      <c r="N120" t="s">
        <v>27</v>
      </c>
      <c r="O120" t="s">
        <v>34</v>
      </c>
      <c r="P120" t="s">
        <v>42</v>
      </c>
      <c r="Q120" s="1">
        <v>8862</v>
      </c>
      <c r="R120">
        <v>189</v>
      </c>
      <c r="S120">
        <v>5</v>
      </c>
      <c r="T120">
        <v>939</v>
      </c>
      <c r="U120" s="1">
        <v>7923</v>
      </c>
      <c r="V120" s="3">
        <v>0.89404197698036558</v>
      </c>
    </row>
    <row r="121" spans="1:22" x14ac:dyDescent="0.25">
      <c r="A121" t="s">
        <v>9</v>
      </c>
      <c r="B121" t="s">
        <v>24</v>
      </c>
      <c r="C121" t="s">
        <v>22</v>
      </c>
      <c r="D121" s="1">
        <v>2541</v>
      </c>
      <c r="E121">
        <v>90</v>
      </c>
      <c r="F121">
        <v>13</v>
      </c>
      <c r="G121" s="2">
        <v>1184</v>
      </c>
      <c r="H121" s="1">
        <v>1358</v>
      </c>
      <c r="I121" s="3">
        <f t="shared" si="1"/>
        <v>0.53443526170798894</v>
      </c>
      <c r="N121" t="s">
        <v>29</v>
      </c>
      <c r="O121" t="s">
        <v>34</v>
      </c>
      <c r="P121" t="s">
        <v>41</v>
      </c>
      <c r="Q121" s="1">
        <v>7280</v>
      </c>
      <c r="R121">
        <v>201</v>
      </c>
      <c r="S121">
        <v>12</v>
      </c>
      <c r="T121" s="2">
        <v>2358</v>
      </c>
      <c r="U121" s="1">
        <v>4922</v>
      </c>
      <c r="V121" s="3">
        <v>0.67609890109890114</v>
      </c>
    </row>
    <row r="122" spans="1:22" x14ac:dyDescent="0.25">
      <c r="A122" t="s">
        <v>17</v>
      </c>
      <c r="B122" t="s">
        <v>10</v>
      </c>
      <c r="C122" t="s">
        <v>11</v>
      </c>
      <c r="D122" s="1">
        <v>1526</v>
      </c>
      <c r="E122">
        <v>240</v>
      </c>
      <c r="F122">
        <v>14</v>
      </c>
      <c r="G122" s="2">
        <v>3478</v>
      </c>
      <c r="H122" s="1">
        <v>-1952</v>
      </c>
      <c r="I122" s="3">
        <f t="shared" si="1"/>
        <v>-1.2791612057667103</v>
      </c>
      <c r="N122" t="s">
        <v>31</v>
      </c>
      <c r="O122" t="s">
        <v>10</v>
      </c>
      <c r="P122" t="s">
        <v>36</v>
      </c>
      <c r="Q122" s="1">
        <v>4592</v>
      </c>
      <c r="R122">
        <v>324</v>
      </c>
      <c r="S122">
        <v>7</v>
      </c>
      <c r="T122" s="2">
        <v>2320</v>
      </c>
      <c r="U122" s="1">
        <v>2272</v>
      </c>
      <c r="V122" s="3">
        <v>0.49477351916376305</v>
      </c>
    </row>
    <row r="123" spans="1:22" x14ac:dyDescent="0.25">
      <c r="A123" t="s">
        <v>9</v>
      </c>
      <c r="B123" t="s">
        <v>24</v>
      </c>
      <c r="C123" t="s">
        <v>16</v>
      </c>
      <c r="D123" s="1">
        <v>6125</v>
      </c>
      <c r="E123">
        <v>102</v>
      </c>
      <c r="F123">
        <v>12</v>
      </c>
      <c r="G123" s="2">
        <v>1212</v>
      </c>
      <c r="H123" s="1">
        <v>4913</v>
      </c>
      <c r="I123" s="3">
        <f t="shared" si="1"/>
        <v>0.80212244897959184</v>
      </c>
      <c r="N123" t="s">
        <v>15</v>
      </c>
      <c r="O123" t="s">
        <v>13</v>
      </c>
      <c r="P123" t="s">
        <v>41</v>
      </c>
      <c r="Q123" s="1">
        <v>7833</v>
      </c>
      <c r="R123">
        <v>243</v>
      </c>
      <c r="S123">
        <v>12</v>
      </c>
      <c r="T123" s="2">
        <v>2850</v>
      </c>
      <c r="U123" s="1">
        <v>4983</v>
      </c>
      <c r="V123" s="3">
        <v>0.63615472998851019</v>
      </c>
    </row>
    <row r="124" spans="1:22" x14ac:dyDescent="0.25">
      <c r="A124" t="s">
        <v>17</v>
      </c>
      <c r="B124" t="s">
        <v>13</v>
      </c>
      <c r="C124" t="s">
        <v>43</v>
      </c>
      <c r="D124" s="1">
        <v>847</v>
      </c>
      <c r="E124">
        <v>129</v>
      </c>
      <c r="F124">
        <v>17</v>
      </c>
      <c r="G124" s="2">
        <v>2158</v>
      </c>
      <c r="H124" s="1">
        <v>-1311</v>
      </c>
      <c r="I124" s="3">
        <f t="shared" si="1"/>
        <v>-1.5478158205430932</v>
      </c>
      <c r="N124" t="s">
        <v>30</v>
      </c>
      <c r="O124" t="s">
        <v>21</v>
      </c>
      <c r="P124" t="s">
        <v>45</v>
      </c>
      <c r="Q124" s="1">
        <v>7651</v>
      </c>
      <c r="R124">
        <v>213</v>
      </c>
      <c r="S124">
        <v>9</v>
      </c>
      <c r="T124" s="2">
        <v>1917</v>
      </c>
      <c r="U124" s="1">
        <v>5734</v>
      </c>
      <c r="V124" s="3">
        <v>0.74944451705659387</v>
      </c>
    </row>
    <row r="125" spans="1:22" x14ac:dyDescent="0.25">
      <c r="A125" t="s">
        <v>12</v>
      </c>
      <c r="B125" t="s">
        <v>13</v>
      </c>
      <c r="C125" t="s">
        <v>43</v>
      </c>
      <c r="D125" s="1">
        <v>4753</v>
      </c>
      <c r="E125">
        <v>300</v>
      </c>
      <c r="F125">
        <v>17</v>
      </c>
      <c r="G125" s="2">
        <v>5019</v>
      </c>
      <c r="H125" s="1">
        <v>-266</v>
      </c>
      <c r="I125" s="3">
        <f t="shared" si="1"/>
        <v>-5.5964653902798235E-2</v>
      </c>
      <c r="N125" t="s">
        <v>9</v>
      </c>
      <c r="O125" t="s">
        <v>24</v>
      </c>
      <c r="P125" t="s">
        <v>35</v>
      </c>
      <c r="Q125" s="1">
        <v>5670</v>
      </c>
      <c r="R125">
        <v>297</v>
      </c>
      <c r="S125">
        <v>9</v>
      </c>
      <c r="T125" s="2">
        <v>2771</v>
      </c>
      <c r="U125" s="1">
        <v>2899</v>
      </c>
      <c r="V125" s="3">
        <v>0.51128747795414464</v>
      </c>
    </row>
    <row r="126" spans="1:22" x14ac:dyDescent="0.25">
      <c r="A126" t="s">
        <v>20</v>
      </c>
      <c r="B126" t="s">
        <v>24</v>
      </c>
      <c r="C126" t="s">
        <v>23</v>
      </c>
      <c r="D126" s="1">
        <v>959</v>
      </c>
      <c r="E126">
        <v>135</v>
      </c>
      <c r="F126">
        <v>12</v>
      </c>
      <c r="G126" s="2">
        <v>1670</v>
      </c>
      <c r="H126" s="1">
        <v>-711</v>
      </c>
      <c r="I126" s="3">
        <f t="shared" si="1"/>
        <v>-0.7413972888425443</v>
      </c>
      <c r="N126" t="s">
        <v>27</v>
      </c>
      <c r="O126" t="s">
        <v>13</v>
      </c>
      <c r="P126" t="s">
        <v>33</v>
      </c>
      <c r="Q126" s="1">
        <v>2135</v>
      </c>
      <c r="R126">
        <v>27</v>
      </c>
      <c r="S126">
        <v>9</v>
      </c>
      <c r="T126">
        <v>237</v>
      </c>
      <c r="U126" s="1">
        <v>1898</v>
      </c>
      <c r="V126" s="3">
        <v>0.88899297423887591</v>
      </c>
    </row>
    <row r="127" spans="1:22" x14ac:dyDescent="0.25">
      <c r="A127" t="s">
        <v>27</v>
      </c>
      <c r="B127" t="s">
        <v>13</v>
      </c>
      <c r="C127" t="s">
        <v>42</v>
      </c>
      <c r="D127" s="1">
        <v>2793</v>
      </c>
      <c r="E127">
        <v>114</v>
      </c>
      <c r="F127">
        <v>5</v>
      </c>
      <c r="G127">
        <v>567</v>
      </c>
      <c r="H127" s="1">
        <v>2226</v>
      </c>
      <c r="I127" s="3">
        <f t="shared" si="1"/>
        <v>0.79699248120300747</v>
      </c>
      <c r="N127" t="s">
        <v>9</v>
      </c>
      <c r="O127" t="s">
        <v>34</v>
      </c>
      <c r="P127" t="s">
        <v>38</v>
      </c>
      <c r="Q127" s="1">
        <v>2779</v>
      </c>
      <c r="R127">
        <v>75</v>
      </c>
      <c r="S127">
        <v>6</v>
      </c>
      <c r="T127">
        <v>487</v>
      </c>
      <c r="U127" s="1">
        <v>2292</v>
      </c>
      <c r="V127" s="3">
        <v>0.82475710687297588</v>
      </c>
    </row>
    <row r="128" spans="1:22" x14ac:dyDescent="0.25">
      <c r="A128" t="s">
        <v>27</v>
      </c>
      <c r="B128" t="s">
        <v>13</v>
      </c>
      <c r="C128" t="s">
        <v>28</v>
      </c>
      <c r="D128" s="1">
        <v>4606</v>
      </c>
      <c r="E128">
        <v>63</v>
      </c>
      <c r="F128">
        <v>12</v>
      </c>
      <c r="G128">
        <v>737</v>
      </c>
      <c r="H128" s="1">
        <v>3869</v>
      </c>
      <c r="I128" s="3">
        <f t="shared" si="1"/>
        <v>0.83999131567520624</v>
      </c>
      <c r="N128" t="s">
        <v>39</v>
      </c>
      <c r="O128" t="s">
        <v>21</v>
      </c>
      <c r="P128" t="s">
        <v>23</v>
      </c>
      <c r="Q128" s="1">
        <v>12950</v>
      </c>
      <c r="R128">
        <v>30</v>
      </c>
      <c r="S128">
        <v>12</v>
      </c>
      <c r="T128">
        <v>371</v>
      </c>
      <c r="U128" s="1">
        <v>12579</v>
      </c>
      <c r="V128" s="3">
        <v>0.97135135135135131</v>
      </c>
    </row>
    <row r="129" spans="1:22" x14ac:dyDescent="0.25">
      <c r="A129" t="s">
        <v>27</v>
      </c>
      <c r="B129" t="s">
        <v>18</v>
      </c>
      <c r="C129" t="s">
        <v>36</v>
      </c>
      <c r="D129" s="1">
        <v>5551</v>
      </c>
      <c r="E129">
        <v>252</v>
      </c>
      <c r="F129">
        <v>7</v>
      </c>
      <c r="G129" s="2">
        <v>1804</v>
      </c>
      <c r="H129" s="1">
        <v>3747</v>
      </c>
      <c r="I129" s="3">
        <f t="shared" si="1"/>
        <v>0.6750135110790848</v>
      </c>
      <c r="N129" t="s">
        <v>27</v>
      </c>
      <c r="O129" t="s">
        <v>18</v>
      </c>
      <c r="P129" t="s">
        <v>19</v>
      </c>
      <c r="Q129" s="1">
        <v>2646</v>
      </c>
      <c r="R129">
        <v>177</v>
      </c>
      <c r="S129">
        <v>6</v>
      </c>
      <c r="T129" s="2">
        <v>1145</v>
      </c>
      <c r="U129" s="1">
        <v>1501</v>
      </c>
      <c r="V129" s="3">
        <v>0.56727135298563869</v>
      </c>
    </row>
    <row r="130" spans="1:22" x14ac:dyDescent="0.25">
      <c r="A130" t="s">
        <v>39</v>
      </c>
      <c r="B130" t="s">
        <v>18</v>
      </c>
      <c r="C130" t="s">
        <v>14</v>
      </c>
      <c r="D130" s="1">
        <v>6657</v>
      </c>
      <c r="E130">
        <v>303</v>
      </c>
      <c r="F130">
        <v>9</v>
      </c>
      <c r="G130" s="2">
        <v>2621</v>
      </c>
      <c r="H130" s="1">
        <v>4036</v>
      </c>
      <c r="I130" s="3">
        <f t="shared" si="1"/>
        <v>0.60627910470181767</v>
      </c>
      <c r="N130" t="s">
        <v>9</v>
      </c>
      <c r="O130" t="s">
        <v>34</v>
      </c>
      <c r="P130" t="s">
        <v>23</v>
      </c>
      <c r="Q130" s="1">
        <v>3794</v>
      </c>
      <c r="R130">
        <v>159</v>
      </c>
      <c r="S130">
        <v>12</v>
      </c>
      <c r="T130" s="2">
        <v>1967</v>
      </c>
      <c r="U130" s="1">
        <v>1827</v>
      </c>
      <c r="V130" s="3">
        <v>0.48154981549815495</v>
      </c>
    </row>
    <row r="131" spans="1:22" x14ac:dyDescent="0.25">
      <c r="A131" t="s">
        <v>27</v>
      </c>
      <c r="B131" t="s">
        <v>21</v>
      </c>
      <c r="C131" t="s">
        <v>32</v>
      </c>
      <c r="D131" s="1">
        <v>4438</v>
      </c>
      <c r="E131">
        <v>246</v>
      </c>
      <c r="F131">
        <v>3</v>
      </c>
      <c r="G131">
        <v>765</v>
      </c>
      <c r="H131" s="1">
        <v>3673</v>
      </c>
      <c r="I131" s="3">
        <f t="shared" ref="I131:I194" si="2">IFERROR(H131/D131, 0)</f>
        <v>0.82762505633168093</v>
      </c>
      <c r="N131" t="s">
        <v>31</v>
      </c>
      <c r="O131" t="s">
        <v>34</v>
      </c>
      <c r="P131" t="s">
        <v>37</v>
      </c>
      <c r="Q131" s="1">
        <v>2583</v>
      </c>
      <c r="R131">
        <v>18</v>
      </c>
      <c r="S131">
        <v>11</v>
      </c>
      <c r="T131">
        <v>191</v>
      </c>
      <c r="U131" s="1">
        <v>2392</v>
      </c>
      <c r="V131" s="3">
        <v>0.92605497483546262</v>
      </c>
    </row>
    <row r="132" spans="1:22" x14ac:dyDescent="0.25">
      <c r="A132" t="s">
        <v>12</v>
      </c>
      <c r="B132" t="s">
        <v>24</v>
      </c>
      <c r="C132" t="s">
        <v>26</v>
      </c>
      <c r="D132" s="1">
        <v>168</v>
      </c>
      <c r="E132">
        <v>84</v>
      </c>
      <c r="F132">
        <v>10</v>
      </c>
      <c r="G132">
        <v>821</v>
      </c>
      <c r="H132" s="1">
        <v>-653</v>
      </c>
      <c r="I132" s="3">
        <f t="shared" si="2"/>
        <v>-3.8869047619047619</v>
      </c>
      <c r="N132" t="s">
        <v>27</v>
      </c>
      <c r="O132" t="s">
        <v>13</v>
      </c>
      <c r="P132" t="s">
        <v>40</v>
      </c>
      <c r="Q132" s="1">
        <v>4585</v>
      </c>
      <c r="R132">
        <v>240</v>
      </c>
      <c r="S132">
        <v>8</v>
      </c>
      <c r="T132" s="2">
        <v>1834</v>
      </c>
      <c r="U132" s="1">
        <v>2751</v>
      </c>
      <c r="V132" s="3">
        <v>0.6</v>
      </c>
    </row>
    <row r="133" spans="1:22" x14ac:dyDescent="0.25">
      <c r="A133" t="s">
        <v>27</v>
      </c>
      <c r="B133" t="s">
        <v>34</v>
      </c>
      <c r="C133" t="s">
        <v>32</v>
      </c>
      <c r="D133" s="1">
        <v>7777</v>
      </c>
      <c r="E133">
        <v>39</v>
      </c>
      <c r="F133">
        <v>3</v>
      </c>
      <c r="G133">
        <v>121</v>
      </c>
      <c r="H133" s="1">
        <v>7656</v>
      </c>
      <c r="I133" s="3">
        <f t="shared" si="2"/>
        <v>0.98444130127298446</v>
      </c>
      <c r="N133" t="s">
        <v>29</v>
      </c>
      <c r="O133" t="s">
        <v>34</v>
      </c>
      <c r="P133" t="s">
        <v>23</v>
      </c>
      <c r="Q133" s="1">
        <v>1652</v>
      </c>
      <c r="R133">
        <v>93</v>
      </c>
      <c r="S133">
        <v>12</v>
      </c>
      <c r="T133" s="2">
        <v>1150</v>
      </c>
      <c r="U133" s="1">
        <v>502</v>
      </c>
      <c r="V133" s="3">
        <v>0.30387409200968524</v>
      </c>
    </row>
    <row r="134" spans="1:22" x14ac:dyDescent="0.25">
      <c r="A134" t="s">
        <v>29</v>
      </c>
      <c r="B134" t="s">
        <v>18</v>
      </c>
      <c r="C134" t="s">
        <v>32</v>
      </c>
      <c r="D134" s="1">
        <v>3339</v>
      </c>
      <c r="E134">
        <v>348</v>
      </c>
      <c r="F134">
        <v>3</v>
      </c>
      <c r="G134" s="2">
        <v>1082</v>
      </c>
      <c r="H134" s="1">
        <v>2257</v>
      </c>
      <c r="I134" s="3">
        <f t="shared" si="2"/>
        <v>0.67595088349805332</v>
      </c>
      <c r="N134" t="s">
        <v>39</v>
      </c>
      <c r="O134" t="s">
        <v>34</v>
      </c>
      <c r="P134" t="s">
        <v>46</v>
      </c>
      <c r="Q134" s="1">
        <v>4991</v>
      </c>
      <c r="R134">
        <v>9</v>
      </c>
      <c r="S134">
        <v>6</v>
      </c>
      <c r="T134">
        <v>50</v>
      </c>
      <c r="U134" s="1">
        <v>4941</v>
      </c>
      <c r="V134" s="3">
        <v>0.98998196754157486</v>
      </c>
    </row>
    <row r="135" spans="1:22" x14ac:dyDescent="0.25">
      <c r="A135" t="s">
        <v>27</v>
      </c>
      <c r="B135" t="s">
        <v>10</v>
      </c>
      <c r="C135" t="s">
        <v>23</v>
      </c>
      <c r="D135" s="1">
        <v>6391</v>
      </c>
      <c r="E135">
        <v>48</v>
      </c>
      <c r="F135">
        <v>12</v>
      </c>
      <c r="G135">
        <v>594</v>
      </c>
      <c r="H135" s="1">
        <v>5797</v>
      </c>
      <c r="I135" s="3">
        <f t="shared" si="2"/>
        <v>0.90705679862306365</v>
      </c>
      <c r="N135" t="s">
        <v>12</v>
      </c>
      <c r="O135" t="s">
        <v>34</v>
      </c>
      <c r="P135" t="s">
        <v>33</v>
      </c>
      <c r="Q135" s="1">
        <v>2009</v>
      </c>
      <c r="R135">
        <v>219</v>
      </c>
      <c r="S135">
        <v>9</v>
      </c>
      <c r="T135" s="2">
        <v>1925</v>
      </c>
      <c r="U135" s="1">
        <v>84</v>
      </c>
      <c r="V135" s="3">
        <v>4.1811846689895474E-2</v>
      </c>
    </row>
    <row r="136" spans="1:22" x14ac:dyDescent="0.25">
      <c r="A136" t="s">
        <v>29</v>
      </c>
      <c r="B136" t="s">
        <v>10</v>
      </c>
      <c r="C136" t="s">
        <v>26</v>
      </c>
      <c r="D136" s="1">
        <v>518</v>
      </c>
      <c r="E136">
        <v>75</v>
      </c>
      <c r="F136">
        <v>10</v>
      </c>
      <c r="G136">
        <v>733</v>
      </c>
      <c r="H136" s="1">
        <v>-215</v>
      </c>
      <c r="I136" s="3">
        <f t="shared" si="2"/>
        <v>-0.41505791505791506</v>
      </c>
      <c r="N136" t="s">
        <v>30</v>
      </c>
      <c r="O136" t="s">
        <v>21</v>
      </c>
      <c r="P136" t="s">
        <v>26</v>
      </c>
      <c r="Q136" s="1">
        <v>1568</v>
      </c>
      <c r="R136">
        <v>141</v>
      </c>
      <c r="S136">
        <v>10</v>
      </c>
      <c r="T136" s="2">
        <v>1378</v>
      </c>
      <c r="U136" s="1">
        <v>190</v>
      </c>
      <c r="V136" s="3">
        <v>0.1211734693877551</v>
      </c>
    </row>
    <row r="137" spans="1:22" x14ac:dyDescent="0.25">
      <c r="A137" t="s">
        <v>27</v>
      </c>
      <c r="B137" t="s">
        <v>24</v>
      </c>
      <c r="C137" t="s">
        <v>44</v>
      </c>
      <c r="D137" s="1">
        <v>5677</v>
      </c>
      <c r="E137">
        <v>258</v>
      </c>
      <c r="F137">
        <v>10</v>
      </c>
      <c r="G137" s="2">
        <v>2678</v>
      </c>
      <c r="H137" s="1">
        <v>2999</v>
      </c>
      <c r="I137" s="3">
        <f t="shared" si="2"/>
        <v>0.52827197463449005</v>
      </c>
      <c r="N137" t="s">
        <v>17</v>
      </c>
      <c r="O137" t="s">
        <v>10</v>
      </c>
      <c r="P137" t="s">
        <v>37</v>
      </c>
      <c r="Q137" s="1">
        <v>3388</v>
      </c>
      <c r="R137">
        <v>123</v>
      </c>
      <c r="S137">
        <v>11</v>
      </c>
      <c r="T137" s="2">
        <v>1306</v>
      </c>
      <c r="U137" s="1">
        <v>2082</v>
      </c>
      <c r="V137" s="3">
        <v>0.61452184179456903</v>
      </c>
    </row>
    <row r="138" spans="1:22" x14ac:dyDescent="0.25">
      <c r="A138" t="s">
        <v>20</v>
      </c>
      <c r="B138" t="s">
        <v>21</v>
      </c>
      <c r="C138" t="s">
        <v>32</v>
      </c>
      <c r="D138" s="1">
        <v>6048</v>
      </c>
      <c r="E138">
        <v>27</v>
      </c>
      <c r="F138">
        <v>3</v>
      </c>
      <c r="G138">
        <v>84</v>
      </c>
      <c r="H138" s="1">
        <v>5964</v>
      </c>
      <c r="I138" s="3">
        <f t="shared" si="2"/>
        <v>0.98611111111111116</v>
      </c>
      <c r="N138" t="s">
        <v>9</v>
      </c>
      <c r="O138" t="s">
        <v>24</v>
      </c>
      <c r="P138" t="s">
        <v>42</v>
      </c>
      <c r="Q138" s="1">
        <v>623</v>
      </c>
      <c r="R138">
        <v>51</v>
      </c>
      <c r="S138">
        <v>5</v>
      </c>
      <c r="T138">
        <v>253</v>
      </c>
      <c r="U138" s="1">
        <v>370</v>
      </c>
      <c r="V138" s="3">
        <v>0.593900481540931</v>
      </c>
    </row>
    <row r="139" spans="1:22" x14ac:dyDescent="0.25">
      <c r="A139" t="s">
        <v>12</v>
      </c>
      <c r="B139" t="s">
        <v>24</v>
      </c>
      <c r="C139" t="s">
        <v>14</v>
      </c>
      <c r="D139" s="1">
        <v>3752</v>
      </c>
      <c r="E139">
        <v>213</v>
      </c>
      <c r="F139">
        <v>9</v>
      </c>
      <c r="G139" s="2">
        <v>1842</v>
      </c>
      <c r="H139" s="1">
        <v>1910</v>
      </c>
      <c r="I139" s="3">
        <f t="shared" si="2"/>
        <v>0.50906183368869939</v>
      </c>
      <c r="N139" t="s">
        <v>20</v>
      </c>
      <c r="O139" t="s">
        <v>18</v>
      </c>
      <c r="P139" t="s">
        <v>16</v>
      </c>
      <c r="Q139" s="1">
        <v>10073</v>
      </c>
      <c r="R139">
        <v>120</v>
      </c>
      <c r="S139">
        <v>12</v>
      </c>
      <c r="T139" s="2">
        <v>1426</v>
      </c>
      <c r="U139" s="1">
        <v>8647</v>
      </c>
      <c r="V139" s="3">
        <v>0.85843343591780008</v>
      </c>
    </row>
    <row r="140" spans="1:22" x14ac:dyDescent="0.25">
      <c r="A140" t="s">
        <v>29</v>
      </c>
      <c r="B140" t="s">
        <v>13</v>
      </c>
      <c r="C140" t="s">
        <v>36</v>
      </c>
      <c r="D140" s="1">
        <v>4480</v>
      </c>
      <c r="E140">
        <v>357</v>
      </c>
      <c r="F140">
        <v>7</v>
      </c>
      <c r="G140" s="2">
        <v>2556</v>
      </c>
      <c r="H140" s="1">
        <v>1924</v>
      </c>
      <c r="I140" s="3">
        <f t="shared" si="2"/>
        <v>0.42946428571428569</v>
      </c>
      <c r="N140" t="s">
        <v>12</v>
      </c>
      <c r="O140" t="s">
        <v>21</v>
      </c>
      <c r="P140" t="s">
        <v>46</v>
      </c>
      <c r="Q140" s="1">
        <v>1561</v>
      </c>
      <c r="R140">
        <v>27</v>
      </c>
      <c r="S140">
        <v>6</v>
      </c>
      <c r="T140">
        <v>151</v>
      </c>
      <c r="U140" s="1">
        <v>1410</v>
      </c>
      <c r="V140" s="3">
        <v>0.90326713645099299</v>
      </c>
    </row>
    <row r="141" spans="1:22" x14ac:dyDescent="0.25">
      <c r="A141" t="s">
        <v>15</v>
      </c>
      <c r="B141" t="s">
        <v>10</v>
      </c>
      <c r="C141" t="s">
        <v>16</v>
      </c>
      <c r="D141" s="1">
        <v>259</v>
      </c>
      <c r="E141">
        <v>207</v>
      </c>
      <c r="F141">
        <v>12</v>
      </c>
      <c r="G141" s="2">
        <v>2459</v>
      </c>
      <c r="H141" s="1">
        <v>-2200</v>
      </c>
      <c r="I141" s="3">
        <f t="shared" si="2"/>
        <v>-8.494208494208495</v>
      </c>
      <c r="N141" t="s">
        <v>15</v>
      </c>
      <c r="O141" t="s">
        <v>18</v>
      </c>
      <c r="P141" t="s">
        <v>43</v>
      </c>
      <c r="Q141" s="1">
        <v>11522</v>
      </c>
      <c r="R141">
        <v>204</v>
      </c>
      <c r="S141">
        <v>17</v>
      </c>
      <c r="T141" s="2">
        <v>3413</v>
      </c>
      <c r="U141" s="1">
        <v>8109</v>
      </c>
      <c r="V141" s="3">
        <v>0.70378406526644677</v>
      </c>
    </row>
    <row r="142" spans="1:22" x14ac:dyDescent="0.25">
      <c r="A142" t="s">
        <v>12</v>
      </c>
      <c r="B142" t="s">
        <v>10</v>
      </c>
      <c r="C142" t="s">
        <v>11</v>
      </c>
      <c r="D142" s="1">
        <v>42</v>
      </c>
      <c r="E142">
        <v>150</v>
      </c>
      <c r="F142">
        <v>14</v>
      </c>
      <c r="G142" s="2">
        <v>2174</v>
      </c>
      <c r="H142" s="1">
        <v>-2132</v>
      </c>
      <c r="I142" s="3">
        <f t="shared" si="2"/>
        <v>-50.761904761904759</v>
      </c>
      <c r="N142" t="s">
        <v>20</v>
      </c>
      <c r="O142" t="s">
        <v>24</v>
      </c>
      <c r="P142" t="s">
        <v>35</v>
      </c>
      <c r="Q142" s="1">
        <v>2317</v>
      </c>
      <c r="R142">
        <v>123</v>
      </c>
      <c r="S142">
        <v>9</v>
      </c>
      <c r="T142" s="2">
        <v>1148</v>
      </c>
      <c r="U142" s="1">
        <v>1169</v>
      </c>
      <c r="V142" s="3">
        <v>0.50453172205438068</v>
      </c>
    </row>
    <row r="143" spans="1:22" x14ac:dyDescent="0.25">
      <c r="A143" t="s">
        <v>17</v>
      </c>
      <c r="B143" t="s">
        <v>18</v>
      </c>
      <c r="C143" t="s">
        <v>46</v>
      </c>
      <c r="D143" s="1">
        <v>98</v>
      </c>
      <c r="E143">
        <v>204</v>
      </c>
      <c r="F143">
        <v>6</v>
      </c>
      <c r="G143" s="2">
        <v>1142</v>
      </c>
      <c r="H143" s="1">
        <v>-1044</v>
      </c>
      <c r="I143" s="3">
        <f t="shared" si="2"/>
        <v>-10.653061224489797</v>
      </c>
      <c r="N143" t="s">
        <v>39</v>
      </c>
      <c r="O143" t="s">
        <v>10</v>
      </c>
      <c r="P143" t="s">
        <v>44</v>
      </c>
      <c r="Q143" s="1">
        <v>3059</v>
      </c>
      <c r="R143">
        <v>27</v>
      </c>
      <c r="S143">
        <v>10</v>
      </c>
      <c r="T143">
        <v>280</v>
      </c>
      <c r="U143" s="1">
        <v>2779</v>
      </c>
      <c r="V143" s="3">
        <v>0.90846681922196793</v>
      </c>
    </row>
    <row r="144" spans="1:22" x14ac:dyDescent="0.25">
      <c r="A144" t="s">
        <v>27</v>
      </c>
      <c r="B144" t="s">
        <v>13</v>
      </c>
      <c r="C144" t="s">
        <v>43</v>
      </c>
      <c r="D144" s="1">
        <v>2478</v>
      </c>
      <c r="E144">
        <v>21</v>
      </c>
      <c r="F144">
        <v>17</v>
      </c>
      <c r="G144">
        <v>351</v>
      </c>
      <c r="H144" s="1">
        <v>2127</v>
      </c>
      <c r="I144" s="3">
        <f t="shared" si="2"/>
        <v>0.85835351089588374</v>
      </c>
      <c r="N144" t="s">
        <v>17</v>
      </c>
      <c r="O144" t="s">
        <v>10</v>
      </c>
      <c r="P144" t="s">
        <v>46</v>
      </c>
      <c r="Q144" s="1">
        <v>2324</v>
      </c>
      <c r="R144">
        <v>177</v>
      </c>
      <c r="S144">
        <v>6</v>
      </c>
      <c r="T144">
        <v>991</v>
      </c>
      <c r="U144" s="1">
        <v>1333</v>
      </c>
      <c r="V144" s="3">
        <v>0.57358003442340788</v>
      </c>
    </row>
    <row r="145" spans="1:22" x14ac:dyDescent="0.25">
      <c r="A145" t="s">
        <v>17</v>
      </c>
      <c r="B145" t="s">
        <v>34</v>
      </c>
      <c r="C145" t="s">
        <v>23</v>
      </c>
      <c r="D145" s="1">
        <v>7847</v>
      </c>
      <c r="E145">
        <v>174</v>
      </c>
      <c r="F145">
        <v>12</v>
      </c>
      <c r="G145" s="2">
        <v>2152</v>
      </c>
      <c r="H145" s="1">
        <v>5695</v>
      </c>
      <c r="I145" s="3">
        <f t="shared" si="2"/>
        <v>0.72575506563017711</v>
      </c>
      <c r="N145" t="s">
        <v>31</v>
      </c>
      <c r="O145" t="s">
        <v>21</v>
      </c>
      <c r="P145" t="s">
        <v>46</v>
      </c>
      <c r="Q145" s="1">
        <v>4956</v>
      </c>
      <c r="R145">
        <v>171</v>
      </c>
      <c r="S145">
        <v>6</v>
      </c>
      <c r="T145">
        <v>958</v>
      </c>
      <c r="U145" s="1">
        <v>3998</v>
      </c>
      <c r="V145" s="3">
        <v>0.80669895076674736</v>
      </c>
    </row>
    <row r="146" spans="1:22" x14ac:dyDescent="0.25">
      <c r="A146" t="s">
        <v>30</v>
      </c>
      <c r="B146" t="s">
        <v>10</v>
      </c>
      <c r="C146" t="s">
        <v>32</v>
      </c>
      <c r="D146" s="1">
        <v>9926</v>
      </c>
      <c r="E146">
        <v>201</v>
      </c>
      <c r="F146">
        <v>3</v>
      </c>
      <c r="G146">
        <v>625</v>
      </c>
      <c r="H146" s="1">
        <v>9301</v>
      </c>
      <c r="I146" s="3">
        <f t="shared" si="2"/>
        <v>0.9370340519846867</v>
      </c>
      <c r="N146" t="s">
        <v>39</v>
      </c>
      <c r="O146" t="s">
        <v>34</v>
      </c>
      <c r="P146" t="s">
        <v>40</v>
      </c>
      <c r="Q146" s="1">
        <v>5355</v>
      </c>
      <c r="R146">
        <v>204</v>
      </c>
      <c r="S146">
        <v>8</v>
      </c>
      <c r="T146" s="2">
        <v>1559</v>
      </c>
      <c r="U146" s="1">
        <v>3796</v>
      </c>
      <c r="V146" s="3">
        <v>0.70887021475256773</v>
      </c>
    </row>
    <row r="147" spans="1:22" x14ac:dyDescent="0.25">
      <c r="A147" t="s">
        <v>12</v>
      </c>
      <c r="B147" t="s">
        <v>24</v>
      </c>
      <c r="C147" t="s">
        <v>35</v>
      </c>
      <c r="D147" s="1">
        <v>819</v>
      </c>
      <c r="E147">
        <v>510</v>
      </c>
      <c r="F147">
        <v>9</v>
      </c>
      <c r="G147" s="2">
        <v>4758</v>
      </c>
      <c r="H147" s="1">
        <v>-3939</v>
      </c>
      <c r="I147" s="3">
        <f t="shared" si="2"/>
        <v>-4.8095238095238093</v>
      </c>
      <c r="N147" t="s">
        <v>31</v>
      </c>
      <c r="O147" t="s">
        <v>34</v>
      </c>
      <c r="P147" t="s">
        <v>28</v>
      </c>
      <c r="Q147" s="1">
        <v>7259</v>
      </c>
      <c r="R147">
        <v>276</v>
      </c>
      <c r="S147">
        <v>12</v>
      </c>
      <c r="T147" s="2">
        <v>3229</v>
      </c>
      <c r="U147" s="1">
        <v>4030</v>
      </c>
      <c r="V147" s="3">
        <v>0.55517288882766225</v>
      </c>
    </row>
    <row r="148" spans="1:22" x14ac:dyDescent="0.25">
      <c r="A148" t="s">
        <v>20</v>
      </c>
      <c r="B148" t="s">
        <v>21</v>
      </c>
      <c r="C148" t="s">
        <v>36</v>
      </c>
      <c r="D148" s="1">
        <v>3052</v>
      </c>
      <c r="E148">
        <v>378</v>
      </c>
      <c r="F148">
        <v>7</v>
      </c>
      <c r="G148" s="2">
        <v>2706</v>
      </c>
      <c r="H148" s="1">
        <v>346</v>
      </c>
      <c r="I148" s="3">
        <f t="shared" si="2"/>
        <v>0.11336828309305373</v>
      </c>
      <c r="N148" t="s">
        <v>12</v>
      </c>
      <c r="O148" t="s">
        <v>10</v>
      </c>
      <c r="P148" t="s">
        <v>46</v>
      </c>
      <c r="Q148" s="1">
        <v>6279</v>
      </c>
      <c r="R148">
        <v>45</v>
      </c>
      <c r="S148">
        <v>6</v>
      </c>
      <c r="T148">
        <v>252</v>
      </c>
      <c r="U148" s="1">
        <v>6027</v>
      </c>
      <c r="V148" s="3">
        <v>0.95986622073578598</v>
      </c>
    </row>
    <row r="149" spans="1:22" x14ac:dyDescent="0.25">
      <c r="A149" t="s">
        <v>15</v>
      </c>
      <c r="B149" t="s">
        <v>34</v>
      </c>
      <c r="C149" t="s">
        <v>45</v>
      </c>
      <c r="D149" s="1">
        <v>6832</v>
      </c>
      <c r="E149">
        <v>27</v>
      </c>
      <c r="F149">
        <v>9</v>
      </c>
      <c r="G149">
        <v>243</v>
      </c>
      <c r="H149" s="1">
        <v>6589</v>
      </c>
      <c r="I149" s="3">
        <f t="shared" si="2"/>
        <v>0.96443208430913352</v>
      </c>
      <c r="N149" t="s">
        <v>9</v>
      </c>
      <c r="O149" t="s">
        <v>24</v>
      </c>
      <c r="P149" t="s">
        <v>36</v>
      </c>
      <c r="Q149" s="1">
        <v>2541</v>
      </c>
      <c r="R149">
        <v>45</v>
      </c>
      <c r="S149">
        <v>7</v>
      </c>
      <c r="T149">
        <v>322</v>
      </c>
      <c r="U149" s="1">
        <v>2219</v>
      </c>
      <c r="V149" s="3">
        <v>0.8732782369146006</v>
      </c>
    </row>
    <row r="150" spans="1:22" x14ac:dyDescent="0.25">
      <c r="A150" t="s">
        <v>30</v>
      </c>
      <c r="B150" t="s">
        <v>21</v>
      </c>
      <c r="C150" t="s">
        <v>33</v>
      </c>
      <c r="D150" s="1">
        <v>2016</v>
      </c>
      <c r="E150">
        <v>117</v>
      </c>
      <c r="F150">
        <v>9</v>
      </c>
      <c r="G150" s="2">
        <v>1028</v>
      </c>
      <c r="H150" s="1">
        <v>988</v>
      </c>
      <c r="I150" s="3">
        <f t="shared" si="2"/>
        <v>0.49007936507936506</v>
      </c>
      <c r="N150" t="s">
        <v>20</v>
      </c>
      <c r="O150" t="s">
        <v>13</v>
      </c>
      <c r="P150" t="s">
        <v>43</v>
      </c>
      <c r="Q150" s="1">
        <v>3864</v>
      </c>
      <c r="R150">
        <v>177</v>
      </c>
      <c r="S150">
        <v>17</v>
      </c>
      <c r="T150" s="2">
        <v>2961</v>
      </c>
      <c r="U150" s="1">
        <v>903</v>
      </c>
      <c r="V150" s="3">
        <v>0.23369565217391305</v>
      </c>
    </row>
    <row r="151" spans="1:22" x14ac:dyDescent="0.25">
      <c r="A151" t="s">
        <v>20</v>
      </c>
      <c r="B151" t="s">
        <v>24</v>
      </c>
      <c r="C151" t="s">
        <v>45</v>
      </c>
      <c r="D151" s="1">
        <v>7322</v>
      </c>
      <c r="E151">
        <v>36</v>
      </c>
      <c r="F151">
        <v>9</v>
      </c>
      <c r="G151">
        <v>324</v>
      </c>
      <c r="H151" s="1">
        <v>6998</v>
      </c>
      <c r="I151" s="3">
        <f t="shared" si="2"/>
        <v>0.95574979513794045</v>
      </c>
      <c r="N151" t="s">
        <v>29</v>
      </c>
      <c r="O151" t="s">
        <v>18</v>
      </c>
      <c r="P151" t="s">
        <v>35</v>
      </c>
      <c r="Q151" s="1">
        <v>6146</v>
      </c>
      <c r="R151">
        <v>63</v>
      </c>
      <c r="S151">
        <v>9</v>
      </c>
      <c r="T151">
        <v>588</v>
      </c>
      <c r="U151" s="1">
        <v>5558</v>
      </c>
      <c r="V151" s="3">
        <v>0.90432801822323461</v>
      </c>
    </row>
    <row r="152" spans="1:22" x14ac:dyDescent="0.25">
      <c r="A152" t="s">
        <v>12</v>
      </c>
      <c r="B152" t="s">
        <v>13</v>
      </c>
      <c r="C152" t="s">
        <v>23</v>
      </c>
      <c r="D152" s="1">
        <v>357</v>
      </c>
      <c r="E152">
        <v>126</v>
      </c>
      <c r="F152">
        <v>12</v>
      </c>
      <c r="G152" s="2">
        <v>1559</v>
      </c>
      <c r="H152" s="1">
        <v>-1202</v>
      </c>
      <c r="I152" s="3">
        <f t="shared" si="2"/>
        <v>-3.3669467787114846</v>
      </c>
      <c r="N152" t="s">
        <v>15</v>
      </c>
      <c r="O152" t="s">
        <v>21</v>
      </c>
      <c r="P152" t="s">
        <v>19</v>
      </c>
      <c r="Q152" s="1">
        <v>2639</v>
      </c>
      <c r="R152">
        <v>204</v>
      </c>
      <c r="S152">
        <v>6</v>
      </c>
      <c r="T152" s="2">
        <v>1320</v>
      </c>
      <c r="U152" s="1">
        <v>1319</v>
      </c>
      <c r="V152" s="3">
        <v>0.49981053429329292</v>
      </c>
    </row>
    <row r="153" spans="1:22" x14ac:dyDescent="0.25">
      <c r="A153" t="s">
        <v>15</v>
      </c>
      <c r="B153" t="s">
        <v>21</v>
      </c>
      <c r="C153" t="s">
        <v>22</v>
      </c>
      <c r="D153" s="1">
        <v>3192</v>
      </c>
      <c r="E153">
        <v>72</v>
      </c>
      <c r="F153">
        <v>13</v>
      </c>
      <c r="G153">
        <v>947</v>
      </c>
      <c r="H153" s="1">
        <v>2245</v>
      </c>
      <c r="I153" s="3">
        <f t="shared" si="2"/>
        <v>0.70332080200501257</v>
      </c>
      <c r="N153" t="s">
        <v>31</v>
      </c>
      <c r="O153" t="s">
        <v>34</v>
      </c>
      <c r="P153" t="s">
        <v>22</v>
      </c>
      <c r="Q153" s="1">
        <v>6300</v>
      </c>
      <c r="R153">
        <v>42</v>
      </c>
      <c r="S153">
        <v>13</v>
      </c>
      <c r="T153">
        <v>552</v>
      </c>
      <c r="U153" s="1">
        <v>5748</v>
      </c>
      <c r="V153" s="3">
        <v>0.9123809523809524</v>
      </c>
    </row>
    <row r="154" spans="1:22" x14ac:dyDescent="0.25">
      <c r="A154" t="s">
        <v>27</v>
      </c>
      <c r="B154" t="s">
        <v>18</v>
      </c>
      <c r="C154" t="s">
        <v>26</v>
      </c>
      <c r="D154" s="1">
        <v>8435</v>
      </c>
      <c r="E154">
        <v>42</v>
      </c>
      <c r="F154">
        <v>10</v>
      </c>
      <c r="G154">
        <v>410</v>
      </c>
      <c r="H154" s="1">
        <v>8025</v>
      </c>
      <c r="I154" s="3">
        <f t="shared" si="2"/>
        <v>0.951393005334914</v>
      </c>
      <c r="N154" t="s">
        <v>15</v>
      </c>
      <c r="O154" t="s">
        <v>10</v>
      </c>
      <c r="P154" t="s">
        <v>46</v>
      </c>
      <c r="Q154" s="1">
        <v>2856</v>
      </c>
      <c r="R154">
        <v>246</v>
      </c>
      <c r="S154">
        <v>6</v>
      </c>
      <c r="T154" s="2">
        <v>1378</v>
      </c>
      <c r="U154" s="1">
        <v>1478</v>
      </c>
      <c r="V154" s="3">
        <v>0.5175070028011205</v>
      </c>
    </row>
    <row r="155" spans="1:22" x14ac:dyDescent="0.25">
      <c r="A155" t="s">
        <v>9</v>
      </c>
      <c r="B155" t="s">
        <v>21</v>
      </c>
      <c r="C155" t="s">
        <v>36</v>
      </c>
      <c r="D155" s="1">
        <v>0</v>
      </c>
      <c r="E155">
        <v>135</v>
      </c>
      <c r="F155">
        <v>7</v>
      </c>
      <c r="G155">
        <v>967</v>
      </c>
      <c r="H155" s="1">
        <v>-967</v>
      </c>
      <c r="I155" s="3">
        <f t="shared" si="2"/>
        <v>0</v>
      </c>
      <c r="N155" t="s">
        <v>15</v>
      </c>
      <c r="O155" t="s">
        <v>34</v>
      </c>
      <c r="P155" t="s">
        <v>32</v>
      </c>
      <c r="Q155" s="1">
        <v>707</v>
      </c>
      <c r="R155">
        <v>174</v>
      </c>
      <c r="S155">
        <v>3</v>
      </c>
      <c r="T155">
        <v>541</v>
      </c>
      <c r="U155" s="1">
        <v>166</v>
      </c>
      <c r="V155" s="3">
        <v>0.2347949080622348</v>
      </c>
    </row>
    <row r="156" spans="1:22" x14ac:dyDescent="0.25">
      <c r="A156" t="s">
        <v>27</v>
      </c>
      <c r="B156" t="s">
        <v>34</v>
      </c>
      <c r="C156" t="s">
        <v>42</v>
      </c>
      <c r="D156" s="1">
        <v>8862</v>
      </c>
      <c r="E156">
        <v>189</v>
      </c>
      <c r="F156">
        <v>5</v>
      </c>
      <c r="G156">
        <v>939</v>
      </c>
      <c r="H156" s="1">
        <v>7923</v>
      </c>
      <c r="I156" s="3">
        <f t="shared" si="2"/>
        <v>0.89404197698036558</v>
      </c>
      <c r="N156" t="s">
        <v>12</v>
      </c>
      <c r="O156" t="s">
        <v>13</v>
      </c>
      <c r="P156" t="s">
        <v>11</v>
      </c>
      <c r="Q156" s="1">
        <v>3598</v>
      </c>
      <c r="R156">
        <v>81</v>
      </c>
      <c r="S156">
        <v>14</v>
      </c>
      <c r="T156" s="2">
        <v>1174</v>
      </c>
      <c r="U156" s="1">
        <v>2424</v>
      </c>
      <c r="V156" s="3">
        <v>0.67370761534185664</v>
      </c>
    </row>
    <row r="157" spans="1:22" x14ac:dyDescent="0.25">
      <c r="A157" t="s">
        <v>20</v>
      </c>
      <c r="B157" t="s">
        <v>10</v>
      </c>
      <c r="C157" t="s">
        <v>44</v>
      </c>
      <c r="D157" s="1">
        <v>3556</v>
      </c>
      <c r="E157">
        <v>459</v>
      </c>
      <c r="F157">
        <v>10</v>
      </c>
      <c r="G157" s="2">
        <v>4764</v>
      </c>
      <c r="H157" s="1">
        <v>-1208</v>
      </c>
      <c r="I157" s="3">
        <f t="shared" si="2"/>
        <v>-0.33970753655793023</v>
      </c>
      <c r="N157" t="s">
        <v>9</v>
      </c>
      <c r="O157" t="s">
        <v>13</v>
      </c>
      <c r="P157" t="s">
        <v>26</v>
      </c>
      <c r="Q157" s="1">
        <v>6853</v>
      </c>
      <c r="R157">
        <v>372</v>
      </c>
      <c r="S157">
        <v>10</v>
      </c>
      <c r="T157" s="2">
        <v>3634</v>
      </c>
      <c r="U157" s="1">
        <v>3219</v>
      </c>
      <c r="V157" s="3">
        <v>0.46972128994600904</v>
      </c>
    </row>
    <row r="158" spans="1:22" x14ac:dyDescent="0.25">
      <c r="A158" t="s">
        <v>29</v>
      </c>
      <c r="B158" t="s">
        <v>34</v>
      </c>
      <c r="C158" t="s">
        <v>41</v>
      </c>
      <c r="D158" s="1">
        <v>7280</v>
      </c>
      <c r="E158">
        <v>201</v>
      </c>
      <c r="F158">
        <v>12</v>
      </c>
      <c r="G158" s="2">
        <v>2358</v>
      </c>
      <c r="H158" s="1">
        <v>4922</v>
      </c>
      <c r="I158" s="3">
        <f t="shared" si="2"/>
        <v>0.67609890109890114</v>
      </c>
      <c r="N158" t="s">
        <v>9</v>
      </c>
      <c r="O158" t="s">
        <v>13</v>
      </c>
      <c r="P158" t="s">
        <v>33</v>
      </c>
      <c r="Q158" s="1">
        <v>4725</v>
      </c>
      <c r="R158">
        <v>174</v>
      </c>
      <c r="S158">
        <v>9</v>
      </c>
      <c r="T158" s="2">
        <v>1529</v>
      </c>
      <c r="U158" s="1">
        <v>3196</v>
      </c>
      <c r="V158" s="3">
        <v>0.67640211640211645</v>
      </c>
    </row>
    <row r="159" spans="1:22" x14ac:dyDescent="0.25">
      <c r="A159" t="s">
        <v>20</v>
      </c>
      <c r="B159" t="s">
        <v>34</v>
      </c>
      <c r="C159" t="s">
        <v>11</v>
      </c>
      <c r="D159" s="1">
        <v>3402</v>
      </c>
      <c r="E159">
        <v>366</v>
      </c>
      <c r="F159">
        <v>14</v>
      </c>
      <c r="G159" s="2">
        <v>5303</v>
      </c>
      <c r="H159" s="1">
        <v>-1901</v>
      </c>
      <c r="I159" s="3">
        <f t="shared" si="2"/>
        <v>-0.5587889476778366</v>
      </c>
      <c r="N159" t="s">
        <v>17</v>
      </c>
      <c r="O159" t="s">
        <v>18</v>
      </c>
      <c r="P159" t="s">
        <v>14</v>
      </c>
      <c r="Q159" s="1">
        <v>10304</v>
      </c>
      <c r="R159">
        <v>84</v>
      </c>
      <c r="S159">
        <v>9</v>
      </c>
      <c r="T159">
        <v>727</v>
      </c>
      <c r="U159" s="1">
        <v>9577</v>
      </c>
      <c r="V159" s="3">
        <v>0.92944487577639756</v>
      </c>
    </row>
    <row r="160" spans="1:22" x14ac:dyDescent="0.25">
      <c r="A160" t="s">
        <v>31</v>
      </c>
      <c r="B160" t="s">
        <v>10</v>
      </c>
      <c r="C160" t="s">
        <v>36</v>
      </c>
      <c r="D160" s="1">
        <v>4592</v>
      </c>
      <c r="E160">
        <v>324</v>
      </c>
      <c r="F160">
        <v>7</v>
      </c>
      <c r="G160" s="2">
        <v>2320</v>
      </c>
      <c r="H160" s="1">
        <v>2272</v>
      </c>
      <c r="I160" s="3">
        <f t="shared" si="2"/>
        <v>0.49477351916376305</v>
      </c>
      <c r="N160" t="s">
        <v>29</v>
      </c>
      <c r="O160" t="s">
        <v>18</v>
      </c>
      <c r="P160" t="s">
        <v>11</v>
      </c>
      <c r="Q160" s="1">
        <v>1526</v>
      </c>
      <c r="R160">
        <v>105</v>
      </c>
      <c r="S160">
        <v>14</v>
      </c>
      <c r="T160" s="2">
        <v>1521</v>
      </c>
      <c r="U160" s="1">
        <v>5</v>
      </c>
      <c r="V160" s="3">
        <v>3.27653997378768E-3</v>
      </c>
    </row>
    <row r="161" spans="1:22" x14ac:dyDescent="0.25">
      <c r="A161" t="s">
        <v>15</v>
      </c>
      <c r="B161" t="s">
        <v>13</v>
      </c>
      <c r="C161" t="s">
        <v>41</v>
      </c>
      <c r="D161" s="1">
        <v>7833</v>
      </c>
      <c r="E161">
        <v>243</v>
      </c>
      <c r="F161">
        <v>12</v>
      </c>
      <c r="G161" s="2">
        <v>2850</v>
      </c>
      <c r="H161" s="1">
        <v>4983</v>
      </c>
      <c r="I161" s="3">
        <f t="shared" si="2"/>
        <v>0.63615472998851019</v>
      </c>
      <c r="N161" t="s">
        <v>9</v>
      </c>
      <c r="O161" t="s">
        <v>21</v>
      </c>
      <c r="P161" t="s">
        <v>44</v>
      </c>
      <c r="Q161" s="1">
        <v>3101</v>
      </c>
      <c r="R161">
        <v>225</v>
      </c>
      <c r="S161">
        <v>10</v>
      </c>
      <c r="T161" s="2">
        <v>2336</v>
      </c>
      <c r="U161" s="1">
        <v>766</v>
      </c>
      <c r="V161" s="3">
        <v>0.24701709126088359</v>
      </c>
    </row>
    <row r="162" spans="1:22" x14ac:dyDescent="0.25">
      <c r="A162" t="s">
        <v>30</v>
      </c>
      <c r="B162" t="s">
        <v>21</v>
      </c>
      <c r="C162" t="s">
        <v>45</v>
      </c>
      <c r="D162" s="1">
        <v>7651</v>
      </c>
      <c r="E162">
        <v>213</v>
      </c>
      <c r="F162">
        <v>9</v>
      </c>
      <c r="G162" s="2">
        <v>1917</v>
      </c>
      <c r="H162" s="1">
        <v>5734</v>
      </c>
      <c r="I162" s="3">
        <f t="shared" si="2"/>
        <v>0.74944451705659387</v>
      </c>
      <c r="N162" t="s">
        <v>30</v>
      </c>
      <c r="O162" t="s">
        <v>10</v>
      </c>
      <c r="P162" t="s">
        <v>28</v>
      </c>
      <c r="Q162" s="1">
        <v>1057</v>
      </c>
      <c r="R162">
        <v>54</v>
      </c>
      <c r="S162">
        <v>12</v>
      </c>
      <c r="T162">
        <v>632</v>
      </c>
      <c r="U162" s="1">
        <v>425</v>
      </c>
      <c r="V162" s="3">
        <v>0.40208136234626302</v>
      </c>
    </row>
    <row r="163" spans="1:22" x14ac:dyDescent="0.25">
      <c r="A163" t="s">
        <v>9</v>
      </c>
      <c r="B163" t="s">
        <v>13</v>
      </c>
      <c r="C163" t="s">
        <v>11</v>
      </c>
      <c r="D163" s="1">
        <v>2275</v>
      </c>
      <c r="E163">
        <v>447</v>
      </c>
      <c r="F163">
        <v>14</v>
      </c>
      <c r="G163" s="2">
        <v>6477</v>
      </c>
      <c r="H163" s="1">
        <v>-4202</v>
      </c>
      <c r="I163" s="3">
        <f t="shared" si="2"/>
        <v>-1.847032967032967</v>
      </c>
      <c r="N163" t="s">
        <v>27</v>
      </c>
      <c r="O163" t="s">
        <v>10</v>
      </c>
      <c r="P163" t="s">
        <v>46</v>
      </c>
      <c r="Q163" s="1">
        <v>5306</v>
      </c>
      <c r="R163">
        <v>0</v>
      </c>
      <c r="S163">
        <v>6</v>
      </c>
      <c r="T163">
        <v>0</v>
      </c>
      <c r="U163" s="1">
        <v>5306</v>
      </c>
      <c r="V163" s="3">
        <v>1</v>
      </c>
    </row>
    <row r="164" spans="1:22" x14ac:dyDescent="0.25">
      <c r="A164" t="s">
        <v>9</v>
      </c>
      <c r="B164" t="s">
        <v>24</v>
      </c>
      <c r="C164" t="s">
        <v>35</v>
      </c>
      <c r="D164" s="1">
        <v>5670</v>
      </c>
      <c r="E164">
        <v>297</v>
      </c>
      <c r="F164">
        <v>9</v>
      </c>
      <c r="G164" s="2">
        <v>2771</v>
      </c>
      <c r="H164" s="1">
        <v>2899</v>
      </c>
      <c r="I164" s="3">
        <f t="shared" si="2"/>
        <v>0.51128747795414464</v>
      </c>
      <c r="N164" t="s">
        <v>29</v>
      </c>
      <c r="O164" t="s">
        <v>21</v>
      </c>
      <c r="P164" t="s">
        <v>42</v>
      </c>
      <c r="Q164" s="1">
        <v>4018</v>
      </c>
      <c r="R164">
        <v>171</v>
      </c>
      <c r="S164">
        <v>5</v>
      </c>
      <c r="T164">
        <v>850</v>
      </c>
      <c r="U164" s="1">
        <v>3168</v>
      </c>
      <c r="V164" s="3">
        <v>0.78845196615231461</v>
      </c>
    </row>
    <row r="165" spans="1:22" x14ac:dyDescent="0.25">
      <c r="A165" t="s">
        <v>27</v>
      </c>
      <c r="B165" t="s">
        <v>13</v>
      </c>
      <c r="C165" t="s">
        <v>33</v>
      </c>
      <c r="D165" s="1">
        <v>2135</v>
      </c>
      <c r="E165">
        <v>27</v>
      </c>
      <c r="F165">
        <v>9</v>
      </c>
      <c r="G165">
        <v>237</v>
      </c>
      <c r="H165" s="1">
        <v>1898</v>
      </c>
      <c r="I165" s="3">
        <f t="shared" si="2"/>
        <v>0.88899297423887591</v>
      </c>
      <c r="N165" t="s">
        <v>27</v>
      </c>
      <c r="O165" t="s">
        <v>24</v>
      </c>
      <c r="P165" t="s">
        <v>19</v>
      </c>
      <c r="Q165" s="1">
        <v>1778</v>
      </c>
      <c r="R165">
        <v>270</v>
      </c>
      <c r="S165">
        <v>6</v>
      </c>
      <c r="T165" s="2">
        <v>1747</v>
      </c>
      <c r="U165" s="1">
        <v>31</v>
      </c>
      <c r="V165" s="3">
        <v>1.7435320584926885E-2</v>
      </c>
    </row>
    <row r="166" spans="1:22" x14ac:dyDescent="0.25">
      <c r="A166" t="s">
        <v>9</v>
      </c>
      <c r="B166" t="s">
        <v>34</v>
      </c>
      <c r="C166" t="s">
        <v>38</v>
      </c>
      <c r="D166" s="1">
        <v>2779</v>
      </c>
      <c r="E166">
        <v>75</v>
      </c>
      <c r="F166">
        <v>6</v>
      </c>
      <c r="G166">
        <v>487</v>
      </c>
      <c r="H166" s="1">
        <v>2292</v>
      </c>
      <c r="I166" s="3">
        <f t="shared" si="2"/>
        <v>0.82475710687297588</v>
      </c>
      <c r="N166" t="s">
        <v>20</v>
      </c>
      <c r="O166" t="s">
        <v>21</v>
      </c>
      <c r="P166" t="s">
        <v>11</v>
      </c>
      <c r="Q166" s="1">
        <v>1638</v>
      </c>
      <c r="R166">
        <v>63</v>
      </c>
      <c r="S166">
        <v>14</v>
      </c>
      <c r="T166">
        <v>913</v>
      </c>
      <c r="U166" s="1">
        <v>725</v>
      </c>
      <c r="V166" s="3">
        <v>0.44261294261294259</v>
      </c>
    </row>
    <row r="167" spans="1:22" x14ac:dyDescent="0.25">
      <c r="A167" t="s">
        <v>39</v>
      </c>
      <c r="B167" t="s">
        <v>21</v>
      </c>
      <c r="C167" t="s">
        <v>23</v>
      </c>
      <c r="D167" s="1">
        <v>12950</v>
      </c>
      <c r="E167">
        <v>30</v>
      </c>
      <c r="F167">
        <v>12</v>
      </c>
      <c r="G167">
        <v>371</v>
      </c>
      <c r="H167" s="1">
        <v>12579</v>
      </c>
      <c r="I167" s="3">
        <f t="shared" si="2"/>
        <v>0.97135135135135131</v>
      </c>
      <c r="N167" t="s">
        <v>27</v>
      </c>
      <c r="O167" t="s">
        <v>10</v>
      </c>
      <c r="P167" t="s">
        <v>26</v>
      </c>
      <c r="Q167" s="1">
        <v>9835</v>
      </c>
      <c r="R167">
        <v>207</v>
      </c>
      <c r="S167">
        <v>10</v>
      </c>
      <c r="T167" s="2">
        <v>2022</v>
      </c>
      <c r="U167" s="1">
        <v>7813</v>
      </c>
      <c r="V167" s="3">
        <v>0.79440772750381294</v>
      </c>
    </row>
    <row r="168" spans="1:22" x14ac:dyDescent="0.25">
      <c r="A168" t="s">
        <v>27</v>
      </c>
      <c r="B168" t="s">
        <v>18</v>
      </c>
      <c r="C168" t="s">
        <v>19</v>
      </c>
      <c r="D168" s="1">
        <v>2646</v>
      </c>
      <c r="E168">
        <v>177</v>
      </c>
      <c r="F168">
        <v>6</v>
      </c>
      <c r="G168" s="2">
        <v>1145</v>
      </c>
      <c r="H168" s="1">
        <v>1501</v>
      </c>
      <c r="I168" s="3">
        <f t="shared" si="2"/>
        <v>0.56727135298563869</v>
      </c>
      <c r="N168" t="s">
        <v>15</v>
      </c>
      <c r="O168" t="s">
        <v>10</v>
      </c>
      <c r="P168" t="s">
        <v>37</v>
      </c>
      <c r="Q168" s="1">
        <v>7273</v>
      </c>
      <c r="R168">
        <v>96</v>
      </c>
      <c r="S168">
        <v>11</v>
      </c>
      <c r="T168" s="2">
        <v>1020</v>
      </c>
      <c r="U168" s="1">
        <v>6253</v>
      </c>
      <c r="V168" s="3">
        <v>0.85975525917778084</v>
      </c>
    </row>
    <row r="169" spans="1:22" x14ac:dyDescent="0.25">
      <c r="A169" t="s">
        <v>9</v>
      </c>
      <c r="B169" t="s">
        <v>34</v>
      </c>
      <c r="C169" t="s">
        <v>23</v>
      </c>
      <c r="D169" s="1">
        <v>3794</v>
      </c>
      <c r="E169">
        <v>159</v>
      </c>
      <c r="F169">
        <v>12</v>
      </c>
      <c r="G169" s="2">
        <v>1967</v>
      </c>
      <c r="H169" s="1">
        <v>1827</v>
      </c>
      <c r="I169" s="3">
        <f t="shared" si="2"/>
        <v>0.48154981549815495</v>
      </c>
      <c r="N169" t="s">
        <v>29</v>
      </c>
      <c r="O169" t="s">
        <v>21</v>
      </c>
      <c r="P169" t="s">
        <v>26</v>
      </c>
      <c r="Q169" s="1">
        <v>6909</v>
      </c>
      <c r="R169">
        <v>81</v>
      </c>
      <c r="S169">
        <v>10</v>
      </c>
      <c r="T169">
        <v>791</v>
      </c>
      <c r="U169" s="1">
        <v>6118</v>
      </c>
      <c r="V169" s="3">
        <v>0.88551165146909827</v>
      </c>
    </row>
    <row r="170" spans="1:22" x14ac:dyDescent="0.25">
      <c r="A170" t="s">
        <v>31</v>
      </c>
      <c r="B170" t="s">
        <v>13</v>
      </c>
      <c r="C170" t="s">
        <v>23</v>
      </c>
      <c r="D170" s="1">
        <v>819</v>
      </c>
      <c r="E170">
        <v>306</v>
      </c>
      <c r="F170">
        <v>12</v>
      </c>
      <c r="G170" s="2">
        <v>3785</v>
      </c>
      <c r="H170" s="1">
        <v>-2966</v>
      </c>
      <c r="I170" s="3">
        <f t="shared" si="2"/>
        <v>-3.6214896214896215</v>
      </c>
      <c r="N170" t="s">
        <v>15</v>
      </c>
      <c r="O170" t="s">
        <v>21</v>
      </c>
      <c r="P170" t="s">
        <v>42</v>
      </c>
      <c r="Q170" s="1">
        <v>3920</v>
      </c>
      <c r="R170">
        <v>306</v>
      </c>
      <c r="S170">
        <v>5</v>
      </c>
      <c r="T170" s="2">
        <v>1521</v>
      </c>
      <c r="U170" s="1">
        <v>2399</v>
      </c>
      <c r="V170" s="3">
        <v>0.61198979591836733</v>
      </c>
    </row>
    <row r="171" spans="1:22" x14ac:dyDescent="0.25">
      <c r="A171" t="s">
        <v>31</v>
      </c>
      <c r="B171" t="s">
        <v>34</v>
      </c>
      <c r="C171" t="s">
        <v>37</v>
      </c>
      <c r="D171" s="1">
        <v>2583</v>
      </c>
      <c r="E171">
        <v>18</v>
      </c>
      <c r="F171">
        <v>11</v>
      </c>
      <c r="G171">
        <v>191</v>
      </c>
      <c r="H171" s="1">
        <v>2392</v>
      </c>
      <c r="I171" s="3">
        <f t="shared" si="2"/>
        <v>0.92605497483546262</v>
      </c>
      <c r="N171" t="s">
        <v>39</v>
      </c>
      <c r="O171" t="s">
        <v>21</v>
      </c>
      <c r="P171" t="s">
        <v>45</v>
      </c>
      <c r="Q171" s="1">
        <v>4858</v>
      </c>
      <c r="R171">
        <v>279</v>
      </c>
      <c r="S171">
        <v>9</v>
      </c>
      <c r="T171" s="2">
        <v>2511</v>
      </c>
      <c r="U171" s="1">
        <v>2347</v>
      </c>
      <c r="V171" s="3">
        <v>0.48312062577192261</v>
      </c>
    </row>
    <row r="172" spans="1:22" x14ac:dyDescent="0.25">
      <c r="A172" t="s">
        <v>27</v>
      </c>
      <c r="B172" t="s">
        <v>13</v>
      </c>
      <c r="C172" t="s">
        <v>40</v>
      </c>
      <c r="D172" s="1">
        <v>4585</v>
      </c>
      <c r="E172">
        <v>240</v>
      </c>
      <c r="F172">
        <v>8</v>
      </c>
      <c r="G172" s="2">
        <v>1834</v>
      </c>
      <c r="H172" s="1">
        <v>2751</v>
      </c>
      <c r="I172" s="3">
        <f t="shared" si="2"/>
        <v>0.6</v>
      </c>
      <c r="N172" t="s">
        <v>30</v>
      </c>
      <c r="O172" t="s">
        <v>24</v>
      </c>
      <c r="P172" t="s">
        <v>16</v>
      </c>
      <c r="Q172" s="1">
        <v>3549</v>
      </c>
      <c r="R172">
        <v>3</v>
      </c>
      <c r="S172">
        <v>12</v>
      </c>
      <c r="T172">
        <v>36</v>
      </c>
      <c r="U172" s="1">
        <v>3513</v>
      </c>
      <c r="V172" s="3">
        <v>0.98985629754860527</v>
      </c>
    </row>
    <row r="173" spans="1:22" x14ac:dyDescent="0.25">
      <c r="A173" t="s">
        <v>29</v>
      </c>
      <c r="B173" t="s">
        <v>34</v>
      </c>
      <c r="C173" t="s">
        <v>23</v>
      </c>
      <c r="D173" s="1">
        <v>1652</v>
      </c>
      <c r="E173">
        <v>93</v>
      </c>
      <c r="F173">
        <v>12</v>
      </c>
      <c r="G173" s="2">
        <v>1150</v>
      </c>
      <c r="H173" s="1">
        <v>502</v>
      </c>
      <c r="I173" s="3">
        <f t="shared" si="2"/>
        <v>0.30387409200968524</v>
      </c>
      <c r="N173" t="s">
        <v>20</v>
      </c>
      <c r="O173" t="s">
        <v>34</v>
      </c>
      <c r="P173" t="s">
        <v>33</v>
      </c>
      <c r="Q173" s="1">
        <v>2219</v>
      </c>
      <c r="R173">
        <v>75</v>
      </c>
      <c r="S173">
        <v>9</v>
      </c>
      <c r="T173">
        <v>659</v>
      </c>
      <c r="U173" s="1">
        <v>1560</v>
      </c>
      <c r="V173" s="3">
        <v>0.70301937809824244</v>
      </c>
    </row>
    <row r="174" spans="1:22" x14ac:dyDescent="0.25">
      <c r="A174" t="s">
        <v>39</v>
      </c>
      <c r="B174" t="s">
        <v>34</v>
      </c>
      <c r="C174" t="s">
        <v>46</v>
      </c>
      <c r="D174" s="1">
        <v>4991</v>
      </c>
      <c r="E174">
        <v>9</v>
      </c>
      <c r="F174">
        <v>6</v>
      </c>
      <c r="G174">
        <v>50</v>
      </c>
      <c r="H174" s="1">
        <v>4941</v>
      </c>
      <c r="I174" s="3">
        <f t="shared" si="2"/>
        <v>0.98998196754157486</v>
      </c>
      <c r="N174" t="s">
        <v>15</v>
      </c>
      <c r="O174" t="s">
        <v>18</v>
      </c>
      <c r="P174" t="s">
        <v>14</v>
      </c>
      <c r="Q174" s="1">
        <v>2954</v>
      </c>
      <c r="R174">
        <v>189</v>
      </c>
      <c r="S174">
        <v>9</v>
      </c>
      <c r="T174" s="2">
        <v>1635</v>
      </c>
      <c r="U174" s="1">
        <v>1319</v>
      </c>
      <c r="V174" s="3">
        <v>0.44651320243737308</v>
      </c>
    </row>
    <row r="175" spans="1:22" x14ac:dyDescent="0.25">
      <c r="A175" t="s">
        <v>12</v>
      </c>
      <c r="B175" t="s">
        <v>34</v>
      </c>
      <c r="C175" t="s">
        <v>33</v>
      </c>
      <c r="D175" s="1">
        <v>2009</v>
      </c>
      <c r="E175">
        <v>219</v>
      </c>
      <c r="F175">
        <v>9</v>
      </c>
      <c r="G175" s="2">
        <v>1925</v>
      </c>
      <c r="H175" s="1">
        <v>84</v>
      </c>
      <c r="I175" s="3">
        <f t="shared" si="2"/>
        <v>4.1811846689895474E-2</v>
      </c>
      <c r="N175" t="s">
        <v>17</v>
      </c>
      <c r="O175" t="s">
        <v>18</v>
      </c>
      <c r="P175" t="s">
        <v>11</v>
      </c>
      <c r="Q175" s="1">
        <v>6118</v>
      </c>
      <c r="R175">
        <v>174</v>
      </c>
      <c r="S175">
        <v>14</v>
      </c>
      <c r="T175" s="2">
        <v>2521</v>
      </c>
      <c r="U175" s="1">
        <v>3597</v>
      </c>
      <c r="V175" s="3">
        <v>0.58793723439032364</v>
      </c>
    </row>
    <row r="176" spans="1:22" x14ac:dyDescent="0.25">
      <c r="A176" t="s">
        <v>30</v>
      </c>
      <c r="B176" t="s">
        <v>21</v>
      </c>
      <c r="C176" t="s">
        <v>26</v>
      </c>
      <c r="D176" s="1">
        <v>1568</v>
      </c>
      <c r="E176">
        <v>141</v>
      </c>
      <c r="F176">
        <v>10</v>
      </c>
      <c r="G176" s="2">
        <v>1378</v>
      </c>
      <c r="H176" s="1">
        <v>190</v>
      </c>
      <c r="I176" s="3">
        <f t="shared" si="2"/>
        <v>0.1211734693877551</v>
      </c>
      <c r="N176" t="s">
        <v>30</v>
      </c>
      <c r="O176" t="s">
        <v>21</v>
      </c>
      <c r="P176" t="s">
        <v>41</v>
      </c>
      <c r="Q176" s="1">
        <v>4802</v>
      </c>
      <c r="R176">
        <v>36</v>
      </c>
      <c r="S176">
        <v>12</v>
      </c>
      <c r="T176">
        <v>422</v>
      </c>
      <c r="U176" s="1">
        <v>4380</v>
      </c>
      <c r="V176" s="3">
        <v>0.91211995002082469</v>
      </c>
    </row>
    <row r="177" spans="1:22" x14ac:dyDescent="0.25">
      <c r="A177" t="s">
        <v>17</v>
      </c>
      <c r="B177" t="s">
        <v>10</v>
      </c>
      <c r="C177" t="s">
        <v>37</v>
      </c>
      <c r="D177" s="1">
        <v>3388</v>
      </c>
      <c r="E177">
        <v>123</v>
      </c>
      <c r="F177">
        <v>11</v>
      </c>
      <c r="G177" s="2">
        <v>1306</v>
      </c>
      <c r="H177" s="1">
        <v>2082</v>
      </c>
      <c r="I177" s="3">
        <f t="shared" si="2"/>
        <v>0.61452184179456903</v>
      </c>
      <c r="N177" t="s">
        <v>15</v>
      </c>
      <c r="O177" t="s">
        <v>24</v>
      </c>
      <c r="P177" t="s">
        <v>42</v>
      </c>
      <c r="Q177" s="1">
        <v>4137</v>
      </c>
      <c r="R177">
        <v>60</v>
      </c>
      <c r="S177">
        <v>5</v>
      </c>
      <c r="T177">
        <v>298</v>
      </c>
      <c r="U177" s="1">
        <v>3839</v>
      </c>
      <c r="V177" s="3">
        <v>0.92796712593666908</v>
      </c>
    </row>
    <row r="178" spans="1:22" x14ac:dyDescent="0.25">
      <c r="A178" t="s">
        <v>9</v>
      </c>
      <c r="B178" t="s">
        <v>24</v>
      </c>
      <c r="C178" t="s">
        <v>42</v>
      </c>
      <c r="D178" s="1">
        <v>623</v>
      </c>
      <c r="E178">
        <v>51</v>
      </c>
      <c r="F178">
        <v>5</v>
      </c>
      <c r="G178">
        <v>253</v>
      </c>
      <c r="H178" s="1">
        <v>370</v>
      </c>
      <c r="I178" s="3">
        <f t="shared" si="2"/>
        <v>0.593900481540931</v>
      </c>
      <c r="N178" t="s">
        <v>31</v>
      </c>
      <c r="O178" t="s">
        <v>13</v>
      </c>
      <c r="P178" t="s">
        <v>38</v>
      </c>
      <c r="Q178" s="1">
        <v>2023</v>
      </c>
      <c r="R178">
        <v>78</v>
      </c>
      <c r="S178">
        <v>6</v>
      </c>
      <c r="T178">
        <v>506</v>
      </c>
      <c r="U178" s="1">
        <v>1517</v>
      </c>
      <c r="V178" s="3">
        <v>0.74987642115669795</v>
      </c>
    </row>
    <row r="179" spans="1:22" x14ac:dyDescent="0.25">
      <c r="A179" t="s">
        <v>20</v>
      </c>
      <c r="B179" t="s">
        <v>18</v>
      </c>
      <c r="C179" t="s">
        <v>16</v>
      </c>
      <c r="D179" s="1">
        <v>10073</v>
      </c>
      <c r="E179">
        <v>120</v>
      </c>
      <c r="F179">
        <v>12</v>
      </c>
      <c r="G179" s="2">
        <v>1426</v>
      </c>
      <c r="H179" s="1">
        <v>8647</v>
      </c>
      <c r="I179" s="3">
        <f t="shared" si="2"/>
        <v>0.85843343591780008</v>
      </c>
      <c r="N179" t="s">
        <v>15</v>
      </c>
      <c r="O179" t="s">
        <v>18</v>
      </c>
      <c r="P179" t="s">
        <v>11</v>
      </c>
      <c r="Q179" s="1">
        <v>9051</v>
      </c>
      <c r="R179">
        <v>57</v>
      </c>
      <c r="S179">
        <v>14</v>
      </c>
      <c r="T179">
        <v>826</v>
      </c>
      <c r="U179" s="1">
        <v>8225</v>
      </c>
      <c r="V179" s="3">
        <v>0.90873936581593195</v>
      </c>
    </row>
    <row r="180" spans="1:22" x14ac:dyDescent="0.25">
      <c r="A180" t="s">
        <v>12</v>
      </c>
      <c r="B180" t="s">
        <v>21</v>
      </c>
      <c r="C180" t="s">
        <v>46</v>
      </c>
      <c r="D180" s="1">
        <v>1561</v>
      </c>
      <c r="E180">
        <v>27</v>
      </c>
      <c r="F180">
        <v>6</v>
      </c>
      <c r="G180">
        <v>151</v>
      </c>
      <c r="H180" s="1">
        <v>1410</v>
      </c>
      <c r="I180" s="3">
        <f t="shared" si="2"/>
        <v>0.90326713645099299</v>
      </c>
      <c r="N180" t="s">
        <v>15</v>
      </c>
      <c r="O180" t="s">
        <v>10</v>
      </c>
      <c r="P180" t="s">
        <v>44</v>
      </c>
      <c r="Q180" s="1">
        <v>2919</v>
      </c>
      <c r="R180">
        <v>45</v>
      </c>
      <c r="S180">
        <v>10</v>
      </c>
      <c r="T180">
        <v>467</v>
      </c>
      <c r="U180" s="1">
        <v>2452</v>
      </c>
      <c r="V180" s="3">
        <v>0.8400137033230558</v>
      </c>
    </row>
    <row r="181" spans="1:22" x14ac:dyDescent="0.25">
      <c r="A181" t="s">
        <v>15</v>
      </c>
      <c r="B181" t="s">
        <v>18</v>
      </c>
      <c r="C181" t="s">
        <v>43</v>
      </c>
      <c r="D181" s="1">
        <v>11522</v>
      </c>
      <c r="E181">
        <v>204</v>
      </c>
      <c r="F181">
        <v>17</v>
      </c>
      <c r="G181" s="2">
        <v>3413</v>
      </c>
      <c r="H181" s="1">
        <v>8109</v>
      </c>
      <c r="I181" s="3">
        <f t="shared" si="2"/>
        <v>0.70378406526644677</v>
      </c>
      <c r="N181" t="s">
        <v>17</v>
      </c>
      <c r="O181" t="s">
        <v>24</v>
      </c>
      <c r="P181" t="s">
        <v>26</v>
      </c>
      <c r="Q181" s="1">
        <v>5915</v>
      </c>
      <c r="R181">
        <v>3</v>
      </c>
      <c r="S181">
        <v>10</v>
      </c>
      <c r="T181">
        <v>29</v>
      </c>
      <c r="U181" s="1">
        <v>5886</v>
      </c>
      <c r="V181" s="3">
        <v>0.99509721048182587</v>
      </c>
    </row>
    <row r="182" spans="1:22" x14ac:dyDescent="0.25">
      <c r="A182" t="s">
        <v>20</v>
      </c>
      <c r="B182" t="s">
        <v>24</v>
      </c>
      <c r="C182" t="s">
        <v>35</v>
      </c>
      <c r="D182" s="1">
        <v>2317</v>
      </c>
      <c r="E182">
        <v>123</v>
      </c>
      <c r="F182">
        <v>9</v>
      </c>
      <c r="G182" s="2">
        <v>1148</v>
      </c>
      <c r="H182" s="1">
        <v>1169</v>
      </c>
      <c r="I182" s="3">
        <f t="shared" si="2"/>
        <v>0.50453172205438068</v>
      </c>
      <c r="N182" t="s">
        <v>39</v>
      </c>
      <c r="O182" t="s">
        <v>13</v>
      </c>
      <c r="P182" t="s">
        <v>41</v>
      </c>
      <c r="Q182" s="1">
        <v>2562</v>
      </c>
      <c r="R182">
        <v>6</v>
      </c>
      <c r="S182">
        <v>12</v>
      </c>
      <c r="T182">
        <v>70</v>
      </c>
      <c r="U182" s="1">
        <v>2492</v>
      </c>
      <c r="V182" s="3">
        <v>0.97267759562841527</v>
      </c>
    </row>
    <row r="183" spans="1:22" x14ac:dyDescent="0.25">
      <c r="A183" t="s">
        <v>39</v>
      </c>
      <c r="B183" t="s">
        <v>10</v>
      </c>
      <c r="C183" t="s">
        <v>44</v>
      </c>
      <c r="D183" s="1">
        <v>3059</v>
      </c>
      <c r="E183">
        <v>27</v>
      </c>
      <c r="F183">
        <v>10</v>
      </c>
      <c r="G183">
        <v>280</v>
      </c>
      <c r="H183" s="1">
        <v>2779</v>
      </c>
      <c r="I183" s="3">
        <f t="shared" si="2"/>
        <v>0.90846681922196793</v>
      </c>
      <c r="N183" t="s">
        <v>29</v>
      </c>
      <c r="O183" t="s">
        <v>10</v>
      </c>
      <c r="P183" t="s">
        <v>22</v>
      </c>
      <c r="Q183" s="1">
        <v>8813</v>
      </c>
      <c r="R183">
        <v>21</v>
      </c>
      <c r="S183">
        <v>13</v>
      </c>
      <c r="T183">
        <v>276</v>
      </c>
      <c r="U183" s="1">
        <v>8537</v>
      </c>
      <c r="V183" s="3">
        <v>0.96868262793600368</v>
      </c>
    </row>
    <row r="184" spans="1:22" x14ac:dyDescent="0.25">
      <c r="A184" t="s">
        <v>17</v>
      </c>
      <c r="B184" t="s">
        <v>10</v>
      </c>
      <c r="C184" t="s">
        <v>46</v>
      </c>
      <c r="D184" s="1">
        <v>2324</v>
      </c>
      <c r="E184">
        <v>177</v>
      </c>
      <c r="F184">
        <v>6</v>
      </c>
      <c r="G184">
        <v>991</v>
      </c>
      <c r="H184" s="1">
        <v>1333</v>
      </c>
      <c r="I184" s="3">
        <f t="shared" si="2"/>
        <v>0.57358003442340788</v>
      </c>
      <c r="N184" t="s">
        <v>29</v>
      </c>
      <c r="O184" t="s">
        <v>18</v>
      </c>
      <c r="P184" t="s">
        <v>19</v>
      </c>
      <c r="Q184" s="1">
        <v>6111</v>
      </c>
      <c r="R184">
        <v>3</v>
      </c>
      <c r="S184">
        <v>6</v>
      </c>
      <c r="T184">
        <v>19</v>
      </c>
      <c r="U184" s="1">
        <v>6092</v>
      </c>
      <c r="V184" s="3">
        <v>0.99689085256095566</v>
      </c>
    </row>
    <row r="185" spans="1:22" x14ac:dyDescent="0.25">
      <c r="A185" t="s">
        <v>31</v>
      </c>
      <c r="B185" t="s">
        <v>21</v>
      </c>
      <c r="C185" t="s">
        <v>46</v>
      </c>
      <c r="D185" s="1">
        <v>4956</v>
      </c>
      <c r="E185">
        <v>171</v>
      </c>
      <c r="F185">
        <v>6</v>
      </c>
      <c r="G185">
        <v>958</v>
      </c>
      <c r="H185" s="1">
        <v>3998</v>
      </c>
      <c r="I185" s="3">
        <f t="shared" si="2"/>
        <v>0.80669895076674736</v>
      </c>
      <c r="N185" t="s">
        <v>12</v>
      </c>
      <c r="O185" t="s">
        <v>34</v>
      </c>
      <c r="P185" t="s">
        <v>25</v>
      </c>
      <c r="Q185" s="1">
        <v>3507</v>
      </c>
      <c r="R185">
        <v>288</v>
      </c>
      <c r="S185">
        <v>6</v>
      </c>
      <c r="T185" s="2">
        <v>1668</v>
      </c>
      <c r="U185" s="1">
        <v>1839</v>
      </c>
      <c r="V185" s="3">
        <v>0.52437981180496152</v>
      </c>
    </row>
    <row r="186" spans="1:22" x14ac:dyDescent="0.25">
      <c r="A186" t="s">
        <v>39</v>
      </c>
      <c r="B186" t="s">
        <v>34</v>
      </c>
      <c r="C186" t="s">
        <v>40</v>
      </c>
      <c r="D186" s="1">
        <v>5355</v>
      </c>
      <c r="E186">
        <v>204</v>
      </c>
      <c r="F186">
        <v>8</v>
      </c>
      <c r="G186" s="2">
        <v>1559</v>
      </c>
      <c r="H186" s="1">
        <v>3796</v>
      </c>
      <c r="I186" s="3">
        <f t="shared" si="2"/>
        <v>0.70887021475256773</v>
      </c>
      <c r="N186" t="s">
        <v>20</v>
      </c>
      <c r="O186" t="s">
        <v>18</v>
      </c>
      <c r="P186" t="s">
        <v>35</v>
      </c>
      <c r="Q186" s="1">
        <v>4319</v>
      </c>
      <c r="R186">
        <v>30</v>
      </c>
      <c r="S186">
        <v>9</v>
      </c>
      <c r="T186">
        <v>280</v>
      </c>
      <c r="U186" s="1">
        <v>4039</v>
      </c>
      <c r="V186" s="3">
        <v>0.93517017828200977</v>
      </c>
    </row>
    <row r="187" spans="1:22" x14ac:dyDescent="0.25">
      <c r="A187" t="s">
        <v>31</v>
      </c>
      <c r="B187" t="s">
        <v>34</v>
      </c>
      <c r="C187" t="s">
        <v>28</v>
      </c>
      <c r="D187" s="1">
        <v>7259</v>
      </c>
      <c r="E187">
        <v>276</v>
      </c>
      <c r="F187">
        <v>12</v>
      </c>
      <c r="G187" s="2">
        <v>3229</v>
      </c>
      <c r="H187" s="1">
        <v>4030</v>
      </c>
      <c r="I187" s="3">
        <f t="shared" si="2"/>
        <v>0.55517288882766225</v>
      </c>
      <c r="N187" t="s">
        <v>9</v>
      </c>
      <c r="O187" t="s">
        <v>24</v>
      </c>
      <c r="P187" t="s">
        <v>46</v>
      </c>
      <c r="Q187" s="1">
        <v>609</v>
      </c>
      <c r="R187">
        <v>87</v>
      </c>
      <c r="S187">
        <v>6</v>
      </c>
      <c r="T187">
        <v>487</v>
      </c>
      <c r="U187" s="1">
        <v>122</v>
      </c>
      <c r="V187" s="3">
        <v>0.20032840722495895</v>
      </c>
    </row>
    <row r="188" spans="1:22" x14ac:dyDescent="0.25">
      <c r="A188" t="s">
        <v>12</v>
      </c>
      <c r="B188" t="s">
        <v>10</v>
      </c>
      <c r="C188" t="s">
        <v>46</v>
      </c>
      <c r="D188" s="1">
        <v>6279</v>
      </c>
      <c r="E188">
        <v>45</v>
      </c>
      <c r="F188">
        <v>6</v>
      </c>
      <c r="G188">
        <v>252</v>
      </c>
      <c r="H188" s="1">
        <v>6027</v>
      </c>
      <c r="I188" s="3">
        <f t="shared" si="2"/>
        <v>0.95986622073578598</v>
      </c>
      <c r="N188" t="s">
        <v>9</v>
      </c>
      <c r="O188" t="s">
        <v>21</v>
      </c>
      <c r="P188" t="s">
        <v>43</v>
      </c>
      <c r="Q188" s="1">
        <v>6370</v>
      </c>
      <c r="R188">
        <v>30</v>
      </c>
      <c r="S188">
        <v>17</v>
      </c>
      <c r="T188">
        <v>502</v>
      </c>
      <c r="U188" s="1">
        <v>5868</v>
      </c>
      <c r="V188" s="3">
        <v>0.92119309262166404</v>
      </c>
    </row>
    <row r="189" spans="1:22" x14ac:dyDescent="0.25">
      <c r="A189" t="s">
        <v>9</v>
      </c>
      <c r="B189" t="s">
        <v>24</v>
      </c>
      <c r="C189" t="s">
        <v>36</v>
      </c>
      <c r="D189" s="1">
        <v>2541</v>
      </c>
      <c r="E189">
        <v>45</v>
      </c>
      <c r="F189">
        <v>7</v>
      </c>
      <c r="G189">
        <v>322</v>
      </c>
      <c r="H189" s="1">
        <v>2219</v>
      </c>
      <c r="I189" s="3">
        <f t="shared" si="2"/>
        <v>0.8732782369146006</v>
      </c>
      <c r="N189" t="s">
        <v>29</v>
      </c>
      <c r="O189" t="s">
        <v>24</v>
      </c>
      <c r="P189" t="s">
        <v>40</v>
      </c>
      <c r="Q189" s="1">
        <v>5474</v>
      </c>
      <c r="R189">
        <v>168</v>
      </c>
      <c r="S189">
        <v>8</v>
      </c>
      <c r="T189" s="2">
        <v>1284</v>
      </c>
      <c r="U189" s="1">
        <v>4190</v>
      </c>
      <c r="V189" s="3">
        <v>0.76543660942637926</v>
      </c>
    </row>
    <row r="190" spans="1:22" x14ac:dyDescent="0.25">
      <c r="A190" t="s">
        <v>20</v>
      </c>
      <c r="B190" t="s">
        <v>13</v>
      </c>
      <c r="C190" t="s">
        <v>43</v>
      </c>
      <c r="D190" s="1">
        <v>3864</v>
      </c>
      <c r="E190">
        <v>177</v>
      </c>
      <c r="F190">
        <v>17</v>
      </c>
      <c r="G190" s="2">
        <v>2961</v>
      </c>
      <c r="H190" s="1">
        <v>903</v>
      </c>
      <c r="I190" s="3">
        <f t="shared" si="2"/>
        <v>0.23369565217391305</v>
      </c>
      <c r="N190" t="s">
        <v>31</v>
      </c>
      <c r="O190" t="s">
        <v>10</v>
      </c>
      <c r="P190" t="s">
        <v>44</v>
      </c>
      <c r="Q190" s="1">
        <v>7308</v>
      </c>
      <c r="R190">
        <v>327</v>
      </c>
      <c r="S190">
        <v>10</v>
      </c>
      <c r="T190" s="2">
        <v>3394</v>
      </c>
      <c r="U190" s="1">
        <v>3914</v>
      </c>
      <c r="V190" s="3">
        <v>0.53557744937055285</v>
      </c>
    </row>
    <row r="191" spans="1:22" x14ac:dyDescent="0.25">
      <c r="A191" t="s">
        <v>29</v>
      </c>
      <c r="B191" t="s">
        <v>18</v>
      </c>
      <c r="C191" t="s">
        <v>35</v>
      </c>
      <c r="D191" s="1">
        <v>6146</v>
      </c>
      <c r="E191">
        <v>63</v>
      </c>
      <c r="F191">
        <v>9</v>
      </c>
      <c r="G191">
        <v>588</v>
      </c>
      <c r="H191" s="1">
        <v>5558</v>
      </c>
      <c r="I191" s="3">
        <f t="shared" si="2"/>
        <v>0.90432801822323461</v>
      </c>
      <c r="N191" t="s">
        <v>9</v>
      </c>
      <c r="O191" t="s">
        <v>10</v>
      </c>
      <c r="P191" t="s">
        <v>43</v>
      </c>
      <c r="Q191" s="1">
        <v>6132</v>
      </c>
      <c r="R191">
        <v>93</v>
      </c>
      <c r="S191">
        <v>17</v>
      </c>
      <c r="T191" s="2">
        <v>1556</v>
      </c>
      <c r="U191" s="1">
        <v>4576</v>
      </c>
      <c r="V191" s="3">
        <v>0.74624918460534895</v>
      </c>
    </row>
    <row r="192" spans="1:22" x14ac:dyDescent="0.25">
      <c r="A192" t="s">
        <v>15</v>
      </c>
      <c r="B192" t="s">
        <v>21</v>
      </c>
      <c r="C192" t="s">
        <v>19</v>
      </c>
      <c r="D192" s="1">
        <v>2639</v>
      </c>
      <c r="E192">
        <v>204</v>
      </c>
      <c r="F192">
        <v>6</v>
      </c>
      <c r="G192" s="2">
        <v>1320</v>
      </c>
      <c r="H192" s="1">
        <v>1319</v>
      </c>
      <c r="I192" s="3">
        <f t="shared" si="2"/>
        <v>0.49981053429329292</v>
      </c>
      <c r="N192" t="s">
        <v>39</v>
      </c>
      <c r="O192" t="s">
        <v>13</v>
      </c>
      <c r="P192" t="s">
        <v>28</v>
      </c>
      <c r="Q192" s="1">
        <v>3472</v>
      </c>
      <c r="R192">
        <v>96</v>
      </c>
      <c r="S192">
        <v>12</v>
      </c>
      <c r="T192" s="2">
        <v>1123</v>
      </c>
      <c r="U192" s="1">
        <v>2349</v>
      </c>
      <c r="V192" s="3">
        <v>0.67655529953917048</v>
      </c>
    </row>
    <row r="193" spans="1:22" x14ac:dyDescent="0.25">
      <c r="A193" t="s">
        <v>12</v>
      </c>
      <c r="B193" t="s">
        <v>10</v>
      </c>
      <c r="C193" t="s">
        <v>26</v>
      </c>
      <c r="D193" s="1">
        <v>1890</v>
      </c>
      <c r="E193">
        <v>195</v>
      </c>
      <c r="F193">
        <v>10</v>
      </c>
      <c r="G193" s="2">
        <v>1905</v>
      </c>
      <c r="H193" s="1">
        <v>-15</v>
      </c>
      <c r="I193" s="3">
        <f t="shared" si="2"/>
        <v>-7.9365079365079361E-3</v>
      </c>
      <c r="N193" t="s">
        <v>12</v>
      </c>
      <c r="O193" t="s">
        <v>21</v>
      </c>
      <c r="P193" t="s">
        <v>19</v>
      </c>
      <c r="Q193" s="1">
        <v>9660</v>
      </c>
      <c r="R193">
        <v>27</v>
      </c>
      <c r="S193">
        <v>6</v>
      </c>
      <c r="T193">
        <v>175</v>
      </c>
      <c r="U193" s="1">
        <v>9485</v>
      </c>
      <c r="V193" s="3">
        <v>0.98188405797101452</v>
      </c>
    </row>
    <row r="194" spans="1:22" x14ac:dyDescent="0.25">
      <c r="A194" t="s">
        <v>27</v>
      </c>
      <c r="B194" t="s">
        <v>34</v>
      </c>
      <c r="C194" t="s">
        <v>28</v>
      </c>
      <c r="D194" s="1">
        <v>1932</v>
      </c>
      <c r="E194">
        <v>369</v>
      </c>
      <c r="F194">
        <v>12</v>
      </c>
      <c r="G194" s="2">
        <v>4317</v>
      </c>
      <c r="H194" s="1">
        <v>-2385</v>
      </c>
      <c r="I194" s="3">
        <f t="shared" si="2"/>
        <v>-1.234472049689441</v>
      </c>
      <c r="N194" t="s">
        <v>15</v>
      </c>
      <c r="O194" t="s">
        <v>24</v>
      </c>
      <c r="P194" t="s">
        <v>46</v>
      </c>
      <c r="Q194" s="1">
        <v>2436</v>
      </c>
      <c r="R194">
        <v>99</v>
      </c>
      <c r="S194">
        <v>6</v>
      </c>
      <c r="T194">
        <v>554</v>
      </c>
      <c r="U194" s="1">
        <v>1882</v>
      </c>
      <c r="V194" s="3">
        <v>0.77257799671592775</v>
      </c>
    </row>
    <row r="195" spans="1:22" x14ac:dyDescent="0.25">
      <c r="A195" t="s">
        <v>31</v>
      </c>
      <c r="B195" t="s">
        <v>34</v>
      </c>
      <c r="C195" t="s">
        <v>22</v>
      </c>
      <c r="D195" s="1">
        <v>6300</v>
      </c>
      <c r="E195">
        <v>42</v>
      </c>
      <c r="F195">
        <v>13</v>
      </c>
      <c r="G195">
        <v>552</v>
      </c>
      <c r="H195" s="1">
        <v>5748</v>
      </c>
      <c r="I195" s="3">
        <f t="shared" ref="I195:I258" si="3">IFERROR(H195/D195, 0)</f>
        <v>0.9123809523809524</v>
      </c>
      <c r="N195" t="s">
        <v>15</v>
      </c>
      <c r="O195" t="s">
        <v>24</v>
      </c>
      <c r="P195" t="s">
        <v>23</v>
      </c>
      <c r="Q195" s="1">
        <v>9506</v>
      </c>
      <c r="R195">
        <v>87</v>
      </c>
      <c r="S195">
        <v>12</v>
      </c>
      <c r="T195" s="2">
        <v>1076</v>
      </c>
      <c r="U195" s="1">
        <v>8430</v>
      </c>
      <c r="V195" s="3">
        <v>0.88680833158005468</v>
      </c>
    </row>
    <row r="196" spans="1:22" x14ac:dyDescent="0.25">
      <c r="A196" t="s">
        <v>20</v>
      </c>
      <c r="B196" t="s">
        <v>10</v>
      </c>
      <c r="C196" t="s">
        <v>11</v>
      </c>
      <c r="D196" s="1">
        <v>560</v>
      </c>
      <c r="E196">
        <v>81</v>
      </c>
      <c r="F196">
        <v>14</v>
      </c>
      <c r="G196" s="2">
        <v>1174</v>
      </c>
      <c r="H196" s="1">
        <v>-614</v>
      </c>
      <c r="I196" s="3">
        <f t="shared" si="3"/>
        <v>-1.0964285714285715</v>
      </c>
      <c r="N196" t="s">
        <v>39</v>
      </c>
      <c r="O196" t="s">
        <v>34</v>
      </c>
      <c r="P196" t="s">
        <v>32</v>
      </c>
      <c r="Q196" s="1">
        <v>700</v>
      </c>
      <c r="R196">
        <v>87</v>
      </c>
      <c r="S196">
        <v>3</v>
      </c>
      <c r="T196">
        <v>271</v>
      </c>
      <c r="U196" s="1">
        <v>429</v>
      </c>
      <c r="V196" s="3">
        <v>0.61285714285714288</v>
      </c>
    </row>
    <row r="197" spans="1:22" x14ac:dyDescent="0.25">
      <c r="A197" t="s">
        <v>15</v>
      </c>
      <c r="B197" t="s">
        <v>10</v>
      </c>
      <c r="C197" t="s">
        <v>46</v>
      </c>
      <c r="D197" s="1">
        <v>2856</v>
      </c>
      <c r="E197">
        <v>246</v>
      </c>
      <c r="F197">
        <v>6</v>
      </c>
      <c r="G197" s="2">
        <v>1378</v>
      </c>
      <c r="H197" s="1">
        <v>1478</v>
      </c>
      <c r="I197" s="3">
        <f t="shared" si="3"/>
        <v>0.5175070028011205</v>
      </c>
      <c r="N197" t="s">
        <v>20</v>
      </c>
      <c r="O197" t="s">
        <v>34</v>
      </c>
      <c r="P197" t="s">
        <v>32</v>
      </c>
      <c r="Q197" s="1">
        <v>3759</v>
      </c>
      <c r="R197">
        <v>150</v>
      </c>
      <c r="S197">
        <v>3</v>
      </c>
      <c r="T197">
        <v>467</v>
      </c>
      <c r="U197" s="1">
        <v>3293</v>
      </c>
      <c r="V197" s="3">
        <v>0.87603085927108271</v>
      </c>
    </row>
    <row r="198" spans="1:22" x14ac:dyDescent="0.25">
      <c r="A198" t="s">
        <v>15</v>
      </c>
      <c r="B198" t="s">
        <v>34</v>
      </c>
      <c r="C198" t="s">
        <v>32</v>
      </c>
      <c r="D198" s="1">
        <v>707</v>
      </c>
      <c r="E198">
        <v>174</v>
      </c>
      <c r="F198">
        <v>3</v>
      </c>
      <c r="G198">
        <v>541</v>
      </c>
      <c r="H198" s="1">
        <v>166</v>
      </c>
      <c r="I198" s="3">
        <f t="shared" si="3"/>
        <v>0.2347949080622348</v>
      </c>
      <c r="N198" t="s">
        <v>30</v>
      </c>
      <c r="O198" t="s">
        <v>13</v>
      </c>
      <c r="P198" t="s">
        <v>32</v>
      </c>
      <c r="Q198" s="1">
        <v>1589</v>
      </c>
      <c r="R198">
        <v>303</v>
      </c>
      <c r="S198">
        <v>3</v>
      </c>
      <c r="T198">
        <v>942</v>
      </c>
      <c r="U198" s="1">
        <v>647</v>
      </c>
      <c r="V198" s="3">
        <v>0.40717432347388294</v>
      </c>
    </row>
    <row r="199" spans="1:22" x14ac:dyDescent="0.25">
      <c r="A199" t="s">
        <v>12</v>
      </c>
      <c r="B199" t="s">
        <v>13</v>
      </c>
      <c r="C199" t="s">
        <v>11</v>
      </c>
      <c r="D199" s="1">
        <v>3598</v>
      </c>
      <c r="E199">
        <v>81</v>
      </c>
      <c r="F199">
        <v>14</v>
      </c>
      <c r="G199" s="2">
        <v>1174</v>
      </c>
      <c r="H199" s="1">
        <v>2424</v>
      </c>
      <c r="I199" s="3">
        <f t="shared" si="3"/>
        <v>0.67370761534185664</v>
      </c>
      <c r="N199" t="s">
        <v>27</v>
      </c>
      <c r="O199" t="s">
        <v>13</v>
      </c>
      <c r="P199" t="s">
        <v>44</v>
      </c>
      <c r="Q199" s="1">
        <v>5194</v>
      </c>
      <c r="R199">
        <v>288</v>
      </c>
      <c r="S199">
        <v>10</v>
      </c>
      <c r="T199" s="2">
        <v>2989</v>
      </c>
      <c r="U199" s="1">
        <v>2205</v>
      </c>
      <c r="V199" s="3">
        <v>0.42452830188679247</v>
      </c>
    </row>
    <row r="200" spans="1:22" x14ac:dyDescent="0.25">
      <c r="A200" t="s">
        <v>9</v>
      </c>
      <c r="B200" t="s">
        <v>13</v>
      </c>
      <c r="C200" t="s">
        <v>26</v>
      </c>
      <c r="D200" s="1">
        <v>6853</v>
      </c>
      <c r="E200">
        <v>372</v>
      </c>
      <c r="F200">
        <v>10</v>
      </c>
      <c r="G200" s="2">
        <v>3634</v>
      </c>
      <c r="H200" s="1">
        <v>3219</v>
      </c>
      <c r="I200" s="3">
        <f t="shared" si="3"/>
        <v>0.46972128994600904</v>
      </c>
      <c r="N200" t="s">
        <v>39</v>
      </c>
      <c r="O200" t="s">
        <v>18</v>
      </c>
      <c r="P200" t="s">
        <v>35</v>
      </c>
      <c r="Q200" s="1">
        <v>945</v>
      </c>
      <c r="R200">
        <v>75</v>
      </c>
      <c r="S200">
        <v>9</v>
      </c>
      <c r="T200">
        <v>700</v>
      </c>
      <c r="U200" s="1">
        <v>245</v>
      </c>
      <c r="V200" s="3">
        <v>0.25925925925925924</v>
      </c>
    </row>
    <row r="201" spans="1:22" x14ac:dyDescent="0.25">
      <c r="A201" t="s">
        <v>9</v>
      </c>
      <c r="B201" t="s">
        <v>13</v>
      </c>
      <c r="C201" t="s">
        <v>33</v>
      </c>
      <c r="D201" s="1">
        <v>4725</v>
      </c>
      <c r="E201">
        <v>174</v>
      </c>
      <c r="F201">
        <v>9</v>
      </c>
      <c r="G201" s="2">
        <v>1529</v>
      </c>
      <c r="H201" s="1">
        <v>3196</v>
      </c>
      <c r="I201" s="3">
        <f t="shared" si="3"/>
        <v>0.67640211640211645</v>
      </c>
      <c r="N201" t="s">
        <v>9</v>
      </c>
      <c r="O201" t="s">
        <v>24</v>
      </c>
      <c r="P201" t="s">
        <v>25</v>
      </c>
      <c r="Q201" s="1">
        <v>1988</v>
      </c>
      <c r="R201">
        <v>39</v>
      </c>
      <c r="S201">
        <v>6</v>
      </c>
      <c r="T201">
        <v>226</v>
      </c>
      <c r="U201" s="1">
        <v>1762</v>
      </c>
      <c r="V201" s="3">
        <v>0.88631790744466799</v>
      </c>
    </row>
    <row r="202" spans="1:22" x14ac:dyDescent="0.25">
      <c r="A202" t="s">
        <v>17</v>
      </c>
      <c r="B202" t="s">
        <v>18</v>
      </c>
      <c r="C202" t="s">
        <v>14</v>
      </c>
      <c r="D202" s="1">
        <v>10304</v>
      </c>
      <c r="E202">
        <v>84</v>
      </c>
      <c r="F202">
        <v>9</v>
      </c>
      <c r="G202">
        <v>727</v>
      </c>
      <c r="H202" s="1">
        <v>9577</v>
      </c>
      <c r="I202" s="3">
        <f t="shared" si="3"/>
        <v>0.92944487577639756</v>
      </c>
      <c r="N202" t="s">
        <v>20</v>
      </c>
      <c r="O202" t="s">
        <v>34</v>
      </c>
      <c r="P202" t="s">
        <v>14</v>
      </c>
      <c r="Q202" s="1">
        <v>6734</v>
      </c>
      <c r="R202">
        <v>123</v>
      </c>
      <c r="S202">
        <v>9</v>
      </c>
      <c r="T202" s="2">
        <v>1064</v>
      </c>
      <c r="U202" s="1">
        <v>5670</v>
      </c>
      <c r="V202" s="3">
        <v>0.84199584199584199</v>
      </c>
    </row>
    <row r="203" spans="1:22" x14ac:dyDescent="0.25">
      <c r="A203" t="s">
        <v>17</v>
      </c>
      <c r="B203" t="s">
        <v>34</v>
      </c>
      <c r="C203" t="s">
        <v>33</v>
      </c>
      <c r="D203" s="1">
        <v>1274</v>
      </c>
      <c r="E203">
        <v>225</v>
      </c>
      <c r="F203">
        <v>9</v>
      </c>
      <c r="G203" s="2">
        <v>1978</v>
      </c>
      <c r="H203" s="1">
        <v>-704</v>
      </c>
      <c r="I203" s="3">
        <f t="shared" si="3"/>
        <v>-0.55259026687598112</v>
      </c>
      <c r="N203" t="s">
        <v>29</v>
      </c>
      <c r="O203" t="s">
        <v>34</v>
      </c>
      <c r="P203" t="s">
        <v>26</v>
      </c>
      <c r="Q203" s="1">
        <v>6279</v>
      </c>
      <c r="R203">
        <v>237</v>
      </c>
      <c r="S203">
        <v>10</v>
      </c>
      <c r="T203" s="2">
        <v>2315</v>
      </c>
      <c r="U203" s="1">
        <v>3964</v>
      </c>
      <c r="V203" s="3">
        <v>0.63131071826724006</v>
      </c>
    </row>
    <row r="204" spans="1:22" x14ac:dyDescent="0.25">
      <c r="A204" t="s">
        <v>29</v>
      </c>
      <c r="B204" t="s">
        <v>18</v>
      </c>
      <c r="C204" t="s">
        <v>11</v>
      </c>
      <c r="D204" s="1">
        <v>1526</v>
      </c>
      <c r="E204">
        <v>105</v>
      </c>
      <c r="F204">
        <v>14</v>
      </c>
      <c r="G204" s="2">
        <v>1521</v>
      </c>
      <c r="H204" s="1">
        <v>5</v>
      </c>
      <c r="I204" s="3">
        <f t="shared" si="3"/>
        <v>3.27653997378768E-3</v>
      </c>
      <c r="N204" t="s">
        <v>9</v>
      </c>
      <c r="O204" t="s">
        <v>18</v>
      </c>
      <c r="P204" t="s">
        <v>35</v>
      </c>
      <c r="Q204" s="1">
        <v>4424</v>
      </c>
      <c r="R204">
        <v>201</v>
      </c>
      <c r="S204">
        <v>9</v>
      </c>
      <c r="T204" s="2">
        <v>1875</v>
      </c>
      <c r="U204" s="1">
        <v>2549</v>
      </c>
      <c r="V204" s="3">
        <v>0.5761754068716094</v>
      </c>
    </row>
    <row r="205" spans="1:22" x14ac:dyDescent="0.25">
      <c r="A205" t="s">
        <v>9</v>
      </c>
      <c r="B205" t="s">
        <v>21</v>
      </c>
      <c r="C205" t="s">
        <v>44</v>
      </c>
      <c r="D205" s="1">
        <v>3101</v>
      </c>
      <c r="E205">
        <v>225</v>
      </c>
      <c r="F205">
        <v>10</v>
      </c>
      <c r="G205" s="2">
        <v>2336</v>
      </c>
      <c r="H205" s="1">
        <v>766</v>
      </c>
      <c r="I205" s="3">
        <f t="shared" si="3"/>
        <v>0.24701709126088359</v>
      </c>
      <c r="N205" t="s">
        <v>30</v>
      </c>
      <c r="O205" t="s">
        <v>18</v>
      </c>
      <c r="P205" t="s">
        <v>32</v>
      </c>
      <c r="Q205" s="1">
        <v>189</v>
      </c>
      <c r="R205">
        <v>48</v>
      </c>
      <c r="S205">
        <v>3</v>
      </c>
      <c r="T205">
        <v>149</v>
      </c>
      <c r="U205" s="1">
        <v>40</v>
      </c>
      <c r="V205" s="3">
        <v>0.21164021164021163</v>
      </c>
    </row>
    <row r="206" spans="1:22" x14ac:dyDescent="0.25">
      <c r="A206" t="s">
        <v>30</v>
      </c>
      <c r="B206" t="s">
        <v>10</v>
      </c>
      <c r="C206" t="s">
        <v>28</v>
      </c>
      <c r="D206" s="1">
        <v>1057</v>
      </c>
      <c r="E206">
        <v>54</v>
      </c>
      <c r="F206">
        <v>12</v>
      </c>
      <c r="G206">
        <v>632</v>
      </c>
      <c r="H206" s="1">
        <v>425</v>
      </c>
      <c r="I206" s="3">
        <f t="shared" si="3"/>
        <v>0.40208136234626302</v>
      </c>
      <c r="N206" t="s">
        <v>27</v>
      </c>
      <c r="O206" t="s">
        <v>24</v>
      </c>
      <c r="P206" t="s">
        <v>11</v>
      </c>
      <c r="Q206" s="1">
        <v>10129</v>
      </c>
      <c r="R206">
        <v>312</v>
      </c>
      <c r="S206">
        <v>14</v>
      </c>
      <c r="T206" s="2">
        <v>4521</v>
      </c>
      <c r="U206" s="1">
        <v>5608</v>
      </c>
      <c r="V206" s="3">
        <v>0.55365781419686055</v>
      </c>
    </row>
    <row r="207" spans="1:22" x14ac:dyDescent="0.25">
      <c r="A207" t="s">
        <v>27</v>
      </c>
      <c r="B207" t="s">
        <v>10</v>
      </c>
      <c r="C207" t="s">
        <v>46</v>
      </c>
      <c r="D207" s="1">
        <v>5306</v>
      </c>
      <c r="E207">
        <v>0</v>
      </c>
      <c r="F207">
        <v>6</v>
      </c>
      <c r="G207">
        <v>0</v>
      </c>
      <c r="H207" s="1">
        <v>5306</v>
      </c>
      <c r="I207" s="3">
        <f t="shared" si="3"/>
        <v>1</v>
      </c>
      <c r="N207" t="s">
        <v>31</v>
      </c>
      <c r="O207" t="s">
        <v>21</v>
      </c>
      <c r="P207" t="s">
        <v>44</v>
      </c>
      <c r="Q207" s="1">
        <v>1652</v>
      </c>
      <c r="R207">
        <v>102</v>
      </c>
      <c r="S207">
        <v>10</v>
      </c>
      <c r="T207" s="2">
        <v>1059</v>
      </c>
      <c r="U207" s="1">
        <v>593</v>
      </c>
      <c r="V207" s="3">
        <v>0.35895883777239712</v>
      </c>
    </row>
    <row r="208" spans="1:22" x14ac:dyDescent="0.25">
      <c r="A208" t="s">
        <v>29</v>
      </c>
      <c r="B208" t="s">
        <v>21</v>
      </c>
      <c r="C208" t="s">
        <v>42</v>
      </c>
      <c r="D208" s="1">
        <v>4018</v>
      </c>
      <c r="E208">
        <v>171</v>
      </c>
      <c r="F208">
        <v>5</v>
      </c>
      <c r="G208">
        <v>850</v>
      </c>
      <c r="H208" s="1">
        <v>3168</v>
      </c>
      <c r="I208" s="3">
        <f t="shared" si="3"/>
        <v>0.78845196615231461</v>
      </c>
      <c r="N208" t="s">
        <v>12</v>
      </c>
      <c r="O208" t="s">
        <v>24</v>
      </c>
      <c r="P208" t="s">
        <v>45</v>
      </c>
      <c r="Q208" s="1">
        <v>6433</v>
      </c>
      <c r="R208">
        <v>78</v>
      </c>
      <c r="S208">
        <v>9</v>
      </c>
      <c r="T208">
        <v>702</v>
      </c>
      <c r="U208" s="1">
        <v>5731</v>
      </c>
      <c r="V208" s="3">
        <v>0.89087517487952739</v>
      </c>
    </row>
    <row r="209" spans="1:22" x14ac:dyDescent="0.25">
      <c r="A209" t="s">
        <v>15</v>
      </c>
      <c r="B209" t="s">
        <v>34</v>
      </c>
      <c r="C209" t="s">
        <v>33</v>
      </c>
      <c r="D209" s="1">
        <v>938</v>
      </c>
      <c r="E209">
        <v>189</v>
      </c>
      <c r="F209">
        <v>9</v>
      </c>
      <c r="G209" s="2">
        <v>1661</v>
      </c>
      <c r="H209" s="1">
        <v>-723</v>
      </c>
      <c r="I209" s="3">
        <f t="shared" si="3"/>
        <v>-0.77078891257995741</v>
      </c>
      <c r="N209" t="s">
        <v>31</v>
      </c>
      <c r="O209" t="s">
        <v>34</v>
      </c>
      <c r="P209" t="s">
        <v>38</v>
      </c>
      <c r="Q209" s="1">
        <v>2212</v>
      </c>
      <c r="R209">
        <v>117</v>
      </c>
      <c r="S209">
        <v>6</v>
      </c>
      <c r="T209">
        <v>759</v>
      </c>
      <c r="U209" s="1">
        <v>1453</v>
      </c>
      <c r="V209" s="3">
        <v>0.65687160940325495</v>
      </c>
    </row>
    <row r="210" spans="1:22" x14ac:dyDescent="0.25">
      <c r="A210" t="s">
        <v>27</v>
      </c>
      <c r="B210" t="s">
        <v>24</v>
      </c>
      <c r="C210" t="s">
        <v>19</v>
      </c>
      <c r="D210" s="1">
        <v>1778</v>
      </c>
      <c r="E210">
        <v>270</v>
      </c>
      <c r="F210">
        <v>6</v>
      </c>
      <c r="G210" s="2">
        <v>1747</v>
      </c>
      <c r="H210" s="1">
        <v>31</v>
      </c>
      <c r="I210" s="3">
        <f t="shared" si="3"/>
        <v>1.7435320584926885E-2</v>
      </c>
      <c r="N210" t="s">
        <v>9</v>
      </c>
      <c r="O210" t="s">
        <v>13</v>
      </c>
      <c r="P210" t="s">
        <v>42</v>
      </c>
      <c r="Q210" s="1">
        <v>1638</v>
      </c>
      <c r="R210">
        <v>48</v>
      </c>
      <c r="S210">
        <v>5</v>
      </c>
      <c r="T210">
        <v>239</v>
      </c>
      <c r="U210" s="1">
        <v>1399</v>
      </c>
      <c r="V210" s="3">
        <v>0.85409035409035405</v>
      </c>
    </row>
    <row r="211" spans="1:22" x14ac:dyDescent="0.25">
      <c r="A211" t="s">
        <v>20</v>
      </c>
      <c r="B211" t="s">
        <v>21</v>
      </c>
      <c r="C211" t="s">
        <v>11</v>
      </c>
      <c r="D211" s="1">
        <v>1638</v>
      </c>
      <c r="E211">
        <v>63</v>
      </c>
      <c r="F211">
        <v>14</v>
      </c>
      <c r="G211">
        <v>913</v>
      </c>
      <c r="H211" s="1">
        <v>725</v>
      </c>
      <c r="I211" s="3">
        <f t="shared" si="3"/>
        <v>0.44261294261294259</v>
      </c>
      <c r="N211" t="s">
        <v>27</v>
      </c>
      <c r="O211" t="s">
        <v>34</v>
      </c>
      <c r="P211" t="s">
        <v>41</v>
      </c>
      <c r="Q211" s="1">
        <v>3829</v>
      </c>
      <c r="R211">
        <v>24</v>
      </c>
      <c r="S211">
        <v>12</v>
      </c>
      <c r="T211">
        <v>282</v>
      </c>
      <c r="U211" s="1">
        <v>3547</v>
      </c>
      <c r="V211" s="3">
        <v>0.92635152781405061</v>
      </c>
    </row>
    <row r="212" spans="1:22" x14ac:dyDescent="0.25">
      <c r="A212" t="s">
        <v>17</v>
      </c>
      <c r="B212" t="s">
        <v>24</v>
      </c>
      <c r="C212" t="s">
        <v>22</v>
      </c>
      <c r="D212" s="1">
        <v>154</v>
      </c>
      <c r="E212">
        <v>21</v>
      </c>
      <c r="F212">
        <v>13</v>
      </c>
      <c r="G212">
        <v>276</v>
      </c>
      <c r="H212" s="1">
        <v>-122</v>
      </c>
      <c r="I212" s="3">
        <f t="shared" si="3"/>
        <v>-0.79220779220779225</v>
      </c>
      <c r="N212" t="s">
        <v>9</v>
      </c>
      <c r="O212" t="s">
        <v>21</v>
      </c>
      <c r="P212" t="s">
        <v>41</v>
      </c>
      <c r="Q212" s="1">
        <v>5775</v>
      </c>
      <c r="R212">
        <v>42</v>
      </c>
      <c r="S212">
        <v>12</v>
      </c>
      <c r="T212">
        <v>493</v>
      </c>
      <c r="U212" s="1">
        <v>5282</v>
      </c>
      <c r="V212" s="3">
        <v>0.91463203463203469</v>
      </c>
    </row>
    <row r="213" spans="1:22" x14ac:dyDescent="0.25">
      <c r="A213" t="s">
        <v>27</v>
      </c>
      <c r="B213" t="s">
        <v>10</v>
      </c>
      <c r="C213" t="s">
        <v>26</v>
      </c>
      <c r="D213" s="1">
        <v>9835</v>
      </c>
      <c r="E213">
        <v>207</v>
      </c>
      <c r="F213">
        <v>10</v>
      </c>
      <c r="G213" s="2">
        <v>2022</v>
      </c>
      <c r="H213" s="1">
        <v>7813</v>
      </c>
      <c r="I213" s="3">
        <f t="shared" si="3"/>
        <v>0.79440772750381294</v>
      </c>
      <c r="N213" t="s">
        <v>12</v>
      </c>
      <c r="O213" t="s">
        <v>18</v>
      </c>
      <c r="P213" t="s">
        <v>38</v>
      </c>
      <c r="Q213" s="1">
        <v>5019</v>
      </c>
      <c r="R213">
        <v>150</v>
      </c>
      <c r="S213">
        <v>6</v>
      </c>
      <c r="T213">
        <v>974</v>
      </c>
      <c r="U213" s="1">
        <v>4046</v>
      </c>
      <c r="V213" s="3">
        <v>0.80613668061366806</v>
      </c>
    </row>
    <row r="214" spans="1:22" x14ac:dyDescent="0.25">
      <c r="A214" t="s">
        <v>15</v>
      </c>
      <c r="B214" t="s">
        <v>10</v>
      </c>
      <c r="C214" t="s">
        <v>37</v>
      </c>
      <c r="D214" s="1">
        <v>7273</v>
      </c>
      <c r="E214">
        <v>96</v>
      </c>
      <c r="F214">
        <v>11</v>
      </c>
      <c r="G214" s="2">
        <v>1020</v>
      </c>
      <c r="H214" s="1">
        <v>6253</v>
      </c>
      <c r="I214" s="3">
        <f t="shared" si="3"/>
        <v>0.85975525917778084</v>
      </c>
      <c r="N214" t="s">
        <v>30</v>
      </c>
      <c r="O214" t="s">
        <v>10</v>
      </c>
      <c r="P214" t="s">
        <v>41</v>
      </c>
      <c r="Q214" s="1">
        <v>2863</v>
      </c>
      <c r="R214">
        <v>42</v>
      </c>
      <c r="S214">
        <v>12</v>
      </c>
      <c r="T214">
        <v>493</v>
      </c>
      <c r="U214" s="1">
        <v>2370</v>
      </c>
      <c r="V214" s="3">
        <v>0.82780300384212369</v>
      </c>
    </row>
    <row r="215" spans="1:22" x14ac:dyDescent="0.25">
      <c r="A215" t="s">
        <v>29</v>
      </c>
      <c r="B215" t="s">
        <v>21</v>
      </c>
      <c r="C215" t="s">
        <v>26</v>
      </c>
      <c r="D215" s="1">
        <v>6909</v>
      </c>
      <c r="E215">
        <v>81</v>
      </c>
      <c r="F215">
        <v>10</v>
      </c>
      <c r="G215">
        <v>791</v>
      </c>
      <c r="H215" s="1">
        <v>6118</v>
      </c>
      <c r="I215" s="3">
        <f t="shared" si="3"/>
        <v>0.88551165146909827</v>
      </c>
      <c r="N215" t="s">
        <v>9</v>
      </c>
      <c r="O215" t="s">
        <v>13</v>
      </c>
      <c r="P215" t="s">
        <v>36</v>
      </c>
      <c r="Q215" s="1">
        <v>1617</v>
      </c>
      <c r="R215">
        <v>126</v>
      </c>
      <c r="S215">
        <v>7</v>
      </c>
      <c r="T215">
        <v>902</v>
      </c>
      <c r="U215" s="1">
        <v>715</v>
      </c>
      <c r="V215" s="3">
        <v>0.44217687074829931</v>
      </c>
    </row>
    <row r="216" spans="1:22" x14ac:dyDescent="0.25">
      <c r="A216" t="s">
        <v>15</v>
      </c>
      <c r="B216" t="s">
        <v>21</v>
      </c>
      <c r="C216" t="s">
        <v>42</v>
      </c>
      <c r="D216" s="1">
        <v>3920</v>
      </c>
      <c r="E216">
        <v>306</v>
      </c>
      <c r="F216">
        <v>5</v>
      </c>
      <c r="G216" s="2">
        <v>1521</v>
      </c>
      <c r="H216" s="1">
        <v>2399</v>
      </c>
      <c r="I216" s="3">
        <f t="shared" si="3"/>
        <v>0.61198979591836733</v>
      </c>
      <c r="N216" t="s">
        <v>20</v>
      </c>
      <c r="O216" t="s">
        <v>10</v>
      </c>
      <c r="P216" t="s">
        <v>46</v>
      </c>
      <c r="Q216" s="1">
        <v>6818</v>
      </c>
      <c r="R216">
        <v>6</v>
      </c>
      <c r="S216">
        <v>6</v>
      </c>
      <c r="T216">
        <v>34</v>
      </c>
      <c r="U216" s="1">
        <v>6784</v>
      </c>
      <c r="V216" s="3">
        <v>0.99501320035200935</v>
      </c>
    </row>
    <row r="217" spans="1:22" x14ac:dyDescent="0.25">
      <c r="A217" t="s">
        <v>39</v>
      </c>
      <c r="B217" t="s">
        <v>21</v>
      </c>
      <c r="C217" t="s">
        <v>45</v>
      </c>
      <c r="D217" s="1">
        <v>4858</v>
      </c>
      <c r="E217">
        <v>279</v>
      </c>
      <c r="F217">
        <v>9</v>
      </c>
      <c r="G217" s="2">
        <v>2511</v>
      </c>
      <c r="H217" s="1">
        <v>2347</v>
      </c>
      <c r="I217" s="3">
        <f t="shared" si="3"/>
        <v>0.48312062577192261</v>
      </c>
      <c r="N217" t="s">
        <v>31</v>
      </c>
      <c r="O217" t="s">
        <v>13</v>
      </c>
      <c r="P217" t="s">
        <v>41</v>
      </c>
      <c r="Q217" s="1">
        <v>6657</v>
      </c>
      <c r="R217">
        <v>276</v>
      </c>
      <c r="S217">
        <v>12</v>
      </c>
      <c r="T217" s="2">
        <v>3237</v>
      </c>
      <c r="U217" s="1">
        <v>3420</v>
      </c>
      <c r="V217" s="3">
        <v>0.51374493014871558</v>
      </c>
    </row>
    <row r="218" spans="1:22" x14ac:dyDescent="0.25">
      <c r="A218" t="s">
        <v>30</v>
      </c>
      <c r="B218" t="s">
        <v>24</v>
      </c>
      <c r="C218" t="s">
        <v>16</v>
      </c>
      <c r="D218" s="1">
        <v>3549</v>
      </c>
      <c r="E218">
        <v>3</v>
      </c>
      <c r="F218">
        <v>12</v>
      </c>
      <c r="G218">
        <v>36</v>
      </c>
      <c r="H218" s="1">
        <v>3513</v>
      </c>
      <c r="I218" s="3">
        <f t="shared" si="3"/>
        <v>0.98985629754860527</v>
      </c>
      <c r="N218" t="s">
        <v>31</v>
      </c>
      <c r="O218" t="s">
        <v>34</v>
      </c>
      <c r="P218" t="s">
        <v>32</v>
      </c>
      <c r="Q218" s="1">
        <v>2919</v>
      </c>
      <c r="R218">
        <v>93</v>
      </c>
      <c r="S218">
        <v>3</v>
      </c>
      <c r="T218">
        <v>289</v>
      </c>
      <c r="U218" s="1">
        <v>2630</v>
      </c>
      <c r="V218" s="3">
        <v>0.90099349092154846</v>
      </c>
    </row>
    <row r="219" spans="1:22" x14ac:dyDescent="0.25">
      <c r="A219" t="s">
        <v>27</v>
      </c>
      <c r="B219" t="s">
        <v>21</v>
      </c>
      <c r="C219" t="s">
        <v>43</v>
      </c>
      <c r="D219" s="1">
        <v>966</v>
      </c>
      <c r="E219">
        <v>198</v>
      </c>
      <c r="F219">
        <v>17</v>
      </c>
      <c r="G219" s="2">
        <v>3313</v>
      </c>
      <c r="H219" s="1">
        <v>-2347</v>
      </c>
      <c r="I219" s="3">
        <f t="shared" si="3"/>
        <v>-2.4296066252587991</v>
      </c>
      <c r="N219" t="s">
        <v>30</v>
      </c>
      <c r="O219" t="s">
        <v>18</v>
      </c>
      <c r="P219" t="s">
        <v>25</v>
      </c>
      <c r="Q219" s="1">
        <v>3094</v>
      </c>
      <c r="R219">
        <v>246</v>
      </c>
      <c r="S219">
        <v>6</v>
      </c>
      <c r="T219" s="2">
        <v>1424</v>
      </c>
      <c r="U219" s="1">
        <v>1670</v>
      </c>
      <c r="V219" s="3">
        <v>0.53975436328377502</v>
      </c>
    </row>
    <row r="220" spans="1:22" x14ac:dyDescent="0.25">
      <c r="A220" t="s">
        <v>29</v>
      </c>
      <c r="B220" t="s">
        <v>21</v>
      </c>
      <c r="C220" t="s">
        <v>19</v>
      </c>
      <c r="D220" s="1">
        <v>385</v>
      </c>
      <c r="E220">
        <v>249</v>
      </c>
      <c r="F220">
        <v>6</v>
      </c>
      <c r="G220" s="2">
        <v>1611</v>
      </c>
      <c r="H220" s="1">
        <v>-1226</v>
      </c>
      <c r="I220" s="3">
        <f t="shared" si="3"/>
        <v>-3.1844155844155844</v>
      </c>
      <c r="N220" t="s">
        <v>20</v>
      </c>
      <c r="O220" t="s">
        <v>21</v>
      </c>
      <c r="P220" t="s">
        <v>42</v>
      </c>
      <c r="Q220" s="1">
        <v>2989</v>
      </c>
      <c r="R220">
        <v>3</v>
      </c>
      <c r="S220">
        <v>5</v>
      </c>
      <c r="T220">
        <v>15</v>
      </c>
      <c r="U220" s="1">
        <v>2974</v>
      </c>
      <c r="V220" s="3">
        <v>0.99498159919705587</v>
      </c>
    </row>
    <row r="221" spans="1:22" x14ac:dyDescent="0.25">
      <c r="A221" t="s">
        <v>20</v>
      </c>
      <c r="B221" t="s">
        <v>34</v>
      </c>
      <c r="C221" t="s">
        <v>33</v>
      </c>
      <c r="D221" s="1">
        <v>2219</v>
      </c>
      <c r="E221">
        <v>75</v>
      </c>
      <c r="F221">
        <v>9</v>
      </c>
      <c r="G221">
        <v>659</v>
      </c>
      <c r="H221" s="1">
        <v>1560</v>
      </c>
      <c r="I221" s="3">
        <f t="shared" si="3"/>
        <v>0.70301937809824244</v>
      </c>
      <c r="N221" t="s">
        <v>12</v>
      </c>
      <c r="O221" t="s">
        <v>24</v>
      </c>
      <c r="P221" t="s">
        <v>43</v>
      </c>
      <c r="Q221" s="1">
        <v>2268</v>
      </c>
      <c r="R221">
        <v>63</v>
      </c>
      <c r="S221">
        <v>17</v>
      </c>
      <c r="T221" s="2">
        <v>1054</v>
      </c>
      <c r="U221" s="1">
        <v>1214</v>
      </c>
      <c r="V221" s="3">
        <v>0.53527336860670194</v>
      </c>
    </row>
    <row r="222" spans="1:22" x14ac:dyDescent="0.25">
      <c r="A222" t="s">
        <v>15</v>
      </c>
      <c r="B222" t="s">
        <v>18</v>
      </c>
      <c r="C222" t="s">
        <v>14</v>
      </c>
      <c r="D222" s="1">
        <v>2954</v>
      </c>
      <c r="E222">
        <v>189</v>
      </c>
      <c r="F222">
        <v>9</v>
      </c>
      <c r="G222" s="2">
        <v>1635</v>
      </c>
      <c r="H222" s="1">
        <v>1319</v>
      </c>
      <c r="I222" s="3">
        <f t="shared" si="3"/>
        <v>0.44651320243737308</v>
      </c>
      <c r="N222" t="s">
        <v>29</v>
      </c>
      <c r="O222" t="s">
        <v>13</v>
      </c>
      <c r="P222" t="s">
        <v>25</v>
      </c>
      <c r="Q222" s="1">
        <v>4753</v>
      </c>
      <c r="R222">
        <v>246</v>
      </c>
      <c r="S222">
        <v>6</v>
      </c>
      <c r="T222" s="2">
        <v>1424</v>
      </c>
      <c r="U222" s="1">
        <v>3329</v>
      </c>
      <c r="V222" s="3">
        <v>0.70039974752787715</v>
      </c>
    </row>
    <row r="223" spans="1:22" x14ac:dyDescent="0.25">
      <c r="A223" t="s">
        <v>27</v>
      </c>
      <c r="B223" t="s">
        <v>18</v>
      </c>
      <c r="C223" t="s">
        <v>14</v>
      </c>
      <c r="D223" s="1">
        <v>280</v>
      </c>
      <c r="E223">
        <v>87</v>
      </c>
      <c r="F223">
        <v>9</v>
      </c>
      <c r="G223">
        <v>753</v>
      </c>
      <c r="H223" s="1">
        <v>-473</v>
      </c>
      <c r="I223" s="3">
        <f t="shared" si="3"/>
        <v>-1.6892857142857143</v>
      </c>
      <c r="N223" t="s">
        <v>30</v>
      </c>
      <c r="O223" t="s">
        <v>34</v>
      </c>
      <c r="P223" t="s">
        <v>40</v>
      </c>
      <c r="Q223" s="1">
        <v>7511</v>
      </c>
      <c r="R223">
        <v>120</v>
      </c>
      <c r="S223">
        <v>8</v>
      </c>
      <c r="T223">
        <v>917</v>
      </c>
      <c r="U223" s="1">
        <v>6594</v>
      </c>
      <c r="V223" s="3">
        <v>0.87791239515377451</v>
      </c>
    </row>
    <row r="224" spans="1:22" x14ac:dyDescent="0.25">
      <c r="A224" t="s">
        <v>17</v>
      </c>
      <c r="B224" t="s">
        <v>18</v>
      </c>
      <c r="C224" t="s">
        <v>11</v>
      </c>
      <c r="D224" s="1">
        <v>6118</v>
      </c>
      <c r="E224">
        <v>174</v>
      </c>
      <c r="F224">
        <v>14</v>
      </c>
      <c r="G224" s="2">
        <v>2521</v>
      </c>
      <c r="H224" s="1">
        <v>3597</v>
      </c>
      <c r="I224" s="3">
        <f t="shared" si="3"/>
        <v>0.58793723439032364</v>
      </c>
      <c r="N224" t="s">
        <v>30</v>
      </c>
      <c r="O224" t="s">
        <v>24</v>
      </c>
      <c r="P224" t="s">
        <v>25</v>
      </c>
      <c r="Q224" s="1">
        <v>4326</v>
      </c>
      <c r="R224">
        <v>348</v>
      </c>
      <c r="S224">
        <v>6</v>
      </c>
      <c r="T224" s="2">
        <v>2015</v>
      </c>
      <c r="U224" s="1">
        <v>2311</v>
      </c>
      <c r="V224" s="3">
        <v>0.53421174294960705</v>
      </c>
    </row>
    <row r="225" spans="1:22" x14ac:dyDescent="0.25">
      <c r="A225" t="s">
        <v>30</v>
      </c>
      <c r="B225" t="s">
        <v>21</v>
      </c>
      <c r="C225" t="s">
        <v>41</v>
      </c>
      <c r="D225" s="1">
        <v>4802</v>
      </c>
      <c r="E225">
        <v>36</v>
      </c>
      <c r="F225">
        <v>12</v>
      </c>
      <c r="G225">
        <v>422</v>
      </c>
      <c r="H225" s="1">
        <v>4380</v>
      </c>
      <c r="I225" s="3">
        <f t="shared" si="3"/>
        <v>0.91211995002082469</v>
      </c>
      <c r="N225" t="s">
        <v>17</v>
      </c>
      <c r="O225" t="s">
        <v>34</v>
      </c>
      <c r="P225" t="s">
        <v>38</v>
      </c>
      <c r="Q225" s="1">
        <v>4935</v>
      </c>
      <c r="R225">
        <v>126</v>
      </c>
      <c r="S225">
        <v>6</v>
      </c>
      <c r="T225">
        <v>818</v>
      </c>
      <c r="U225" s="1">
        <v>4117</v>
      </c>
      <c r="V225" s="3">
        <v>0.83424518743667675</v>
      </c>
    </row>
    <row r="226" spans="1:22" x14ac:dyDescent="0.25">
      <c r="A226" t="s">
        <v>15</v>
      </c>
      <c r="B226" t="s">
        <v>24</v>
      </c>
      <c r="C226" t="s">
        <v>42</v>
      </c>
      <c r="D226" s="1">
        <v>4137</v>
      </c>
      <c r="E226">
        <v>60</v>
      </c>
      <c r="F226">
        <v>5</v>
      </c>
      <c r="G226">
        <v>298</v>
      </c>
      <c r="H226" s="1">
        <v>3839</v>
      </c>
      <c r="I226" s="3">
        <f t="shared" si="3"/>
        <v>0.92796712593666908</v>
      </c>
      <c r="N226" t="s">
        <v>20</v>
      </c>
      <c r="O226" t="s">
        <v>13</v>
      </c>
      <c r="P226" t="s">
        <v>11</v>
      </c>
      <c r="Q226" s="1">
        <v>4781</v>
      </c>
      <c r="R226">
        <v>123</v>
      </c>
      <c r="S226">
        <v>14</v>
      </c>
      <c r="T226" s="2">
        <v>1782</v>
      </c>
      <c r="U226" s="1">
        <v>2999</v>
      </c>
      <c r="V226" s="3">
        <v>0.62727462873875761</v>
      </c>
    </row>
    <row r="227" spans="1:22" x14ac:dyDescent="0.25">
      <c r="A227" t="s">
        <v>31</v>
      </c>
      <c r="B227" t="s">
        <v>13</v>
      </c>
      <c r="C227" t="s">
        <v>38</v>
      </c>
      <c r="D227" s="1">
        <v>2023</v>
      </c>
      <c r="E227">
        <v>78</v>
      </c>
      <c r="F227">
        <v>6</v>
      </c>
      <c r="G227">
        <v>506</v>
      </c>
      <c r="H227" s="1">
        <v>1517</v>
      </c>
      <c r="I227" s="3">
        <f t="shared" si="3"/>
        <v>0.74987642115669795</v>
      </c>
      <c r="N227" t="s">
        <v>29</v>
      </c>
      <c r="O227" t="s">
        <v>24</v>
      </c>
      <c r="P227" t="s">
        <v>22</v>
      </c>
      <c r="Q227" s="1">
        <v>7483</v>
      </c>
      <c r="R227">
        <v>45</v>
      </c>
      <c r="S227">
        <v>13</v>
      </c>
      <c r="T227">
        <v>592</v>
      </c>
      <c r="U227" s="1">
        <v>6891</v>
      </c>
      <c r="V227" s="3">
        <v>0.92088734464786848</v>
      </c>
    </row>
    <row r="228" spans="1:22" x14ac:dyDescent="0.25">
      <c r="A228" t="s">
        <v>15</v>
      </c>
      <c r="B228" t="s">
        <v>18</v>
      </c>
      <c r="C228" t="s">
        <v>11</v>
      </c>
      <c r="D228" s="1">
        <v>9051</v>
      </c>
      <c r="E228">
        <v>57</v>
      </c>
      <c r="F228">
        <v>14</v>
      </c>
      <c r="G228">
        <v>826</v>
      </c>
      <c r="H228" s="1">
        <v>8225</v>
      </c>
      <c r="I228" s="3">
        <f t="shared" si="3"/>
        <v>0.90873936581593195</v>
      </c>
      <c r="N228" t="s">
        <v>39</v>
      </c>
      <c r="O228" t="s">
        <v>24</v>
      </c>
      <c r="P228" t="s">
        <v>16</v>
      </c>
      <c r="Q228" s="1">
        <v>6860</v>
      </c>
      <c r="R228">
        <v>126</v>
      </c>
      <c r="S228">
        <v>12</v>
      </c>
      <c r="T228" s="2">
        <v>1497</v>
      </c>
      <c r="U228" s="1">
        <v>5363</v>
      </c>
      <c r="V228" s="3">
        <v>0.78177842565597666</v>
      </c>
    </row>
    <row r="229" spans="1:22" x14ac:dyDescent="0.25">
      <c r="A229" t="s">
        <v>15</v>
      </c>
      <c r="B229" t="s">
        <v>10</v>
      </c>
      <c r="C229" t="s">
        <v>44</v>
      </c>
      <c r="D229" s="1">
        <v>2919</v>
      </c>
      <c r="E229">
        <v>45</v>
      </c>
      <c r="F229">
        <v>10</v>
      </c>
      <c r="G229">
        <v>467</v>
      </c>
      <c r="H229" s="1">
        <v>2452</v>
      </c>
      <c r="I229" s="3">
        <f t="shared" si="3"/>
        <v>0.8400137033230558</v>
      </c>
      <c r="N229" t="s">
        <v>9</v>
      </c>
      <c r="O229" t="s">
        <v>10</v>
      </c>
      <c r="P229" t="s">
        <v>36</v>
      </c>
      <c r="Q229" s="1">
        <v>9002</v>
      </c>
      <c r="R229">
        <v>72</v>
      </c>
      <c r="S229">
        <v>7</v>
      </c>
      <c r="T229">
        <v>516</v>
      </c>
      <c r="U229" s="1">
        <v>8486</v>
      </c>
      <c r="V229" s="3">
        <v>0.94267940457676069</v>
      </c>
    </row>
    <row r="230" spans="1:22" x14ac:dyDescent="0.25">
      <c r="A230" t="s">
        <v>17</v>
      </c>
      <c r="B230" t="s">
        <v>24</v>
      </c>
      <c r="C230" t="s">
        <v>26</v>
      </c>
      <c r="D230" s="1">
        <v>5915</v>
      </c>
      <c r="E230">
        <v>3</v>
      </c>
      <c r="F230">
        <v>10</v>
      </c>
      <c r="G230">
        <v>29</v>
      </c>
      <c r="H230" s="1">
        <v>5886</v>
      </c>
      <c r="I230" s="3">
        <f t="shared" si="3"/>
        <v>0.99509721048182587</v>
      </c>
      <c r="N230" t="s">
        <v>20</v>
      </c>
      <c r="O230" t="s">
        <v>18</v>
      </c>
      <c r="P230" t="s">
        <v>36</v>
      </c>
      <c r="Q230" s="1">
        <v>1400</v>
      </c>
      <c r="R230">
        <v>135</v>
      </c>
      <c r="S230">
        <v>7</v>
      </c>
      <c r="T230">
        <v>967</v>
      </c>
      <c r="U230" s="1">
        <v>433</v>
      </c>
      <c r="V230" s="3">
        <v>0.30928571428571427</v>
      </c>
    </row>
    <row r="231" spans="1:22" x14ac:dyDescent="0.25">
      <c r="A231" t="s">
        <v>39</v>
      </c>
      <c r="B231" t="s">
        <v>13</v>
      </c>
      <c r="C231" t="s">
        <v>41</v>
      </c>
      <c r="D231" s="1">
        <v>2562</v>
      </c>
      <c r="E231">
        <v>6</v>
      </c>
      <c r="F231">
        <v>12</v>
      </c>
      <c r="G231">
        <v>70</v>
      </c>
      <c r="H231" s="1">
        <v>2492</v>
      </c>
      <c r="I231" s="3">
        <f t="shared" si="3"/>
        <v>0.97267759562841527</v>
      </c>
      <c r="N231" t="s">
        <v>39</v>
      </c>
      <c r="O231" t="s">
        <v>34</v>
      </c>
      <c r="P231" t="s">
        <v>26</v>
      </c>
      <c r="Q231" s="1">
        <v>4053</v>
      </c>
      <c r="R231">
        <v>24</v>
      </c>
      <c r="S231">
        <v>10</v>
      </c>
      <c r="T231">
        <v>234</v>
      </c>
      <c r="U231" s="1">
        <v>3819</v>
      </c>
      <c r="V231" s="3">
        <v>0.9422649888971133</v>
      </c>
    </row>
    <row r="232" spans="1:22" x14ac:dyDescent="0.25">
      <c r="A232" t="s">
        <v>29</v>
      </c>
      <c r="B232" t="s">
        <v>10</v>
      </c>
      <c r="C232" t="s">
        <v>22</v>
      </c>
      <c r="D232" s="1">
        <v>8813</v>
      </c>
      <c r="E232">
        <v>21</v>
      </c>
      <c r="F232">
        <v>13</v>
      </c>
      <c r="G232">
        <v>276</v>
      </c>
      <c r="H232" s="1">
        <v>8537</v>
      </c>
      <c r="I232" s="3">
        <f t="shared" si="3"/>
        <v>0.96868262793600368</v>
      </c>
      <c r="N232" t="s">
        <v>27</v>
      </c>
      <c r="O232" t="s">
        <v>18</v>
      </c>
      <c r="P232" t="s">
        <v>25</v>
      </c>
      <c r="Q232" s="1">
        <v>2149</v>
      </c>
      <c r="R232">
        <v>117</v>
      </c>
      <c r="S232">
        <v>6</v>
      </c>
      <c r="T232">
        <v>677</v>
      </c>
      <c r="U232" s="1">
        <v>1472</v>
      </c>
      <c r="V232" s="3">
        <v>0.68496975337366217</v>
      </c>
    </row>
    <row r="233" spans="1:22" x14ac:dyDescent="0.25">
      <c r="A233" t="s">
        <v>29</v>
      </c>
      <c r="B233" t="s">
        <v>18</v>
      </c>
      <c r="C233" t="s">
        <v>19</v>
      </c>
      <c r="D233" s="1">
        <v>6111</v>
      </c>
      <c r="E233">
        <v>3</v>
      </c>
      <c r="F233">
        <v>6</v>
      </c>
      <c r="G233">
        <v>19</v>
      </c>
      <c r="H233" s="1">
        <v>6092</v>
      </c>
      <c r="I233" s="3">
        <f t="shared" si="3"/>
        <v>0.99689085256095566</v>
      </c>
      <c r="N233" t="s">
        <v>31</v>
      </c>
      <c r="O233" t="s">
        <v>21</v>
      </c>
      <c r="P233" t="s">
        <v>36</v>
      </c>
      <c r="Q233" s="1">
        <v>3640</v>
      </c>
      <c r="R233">
        <v>51</v>
      </c>
      <c r="S233">
        <v>7</v>
      </c>
      <c r="T233">
        <v>365</v>
      </c>
      <c r="U233" s="1">
        <v>3275</v>
      </c>
      <c r="V233" s="3">
        <v>0.89972527472527475</v>
      </c>
    </row>
    <row r="234" spans="1:22" x14ac:dyDescent="0.25">
      <c r="A234" t="s">
        <v>12</v>
      </c>
      <c r="B234" t="s">
        <v>34</v>
      </c>
      <c r="C234" t="s">
        <v>25</v>
      </c>
      <c r="D234" s="1">
        <v>3507</v>
      </c>
      <c r="E234">
        <v>288</v>
      </c>
      <c r="F234">
        <v>6</v>
      </c>
      <c r="G234" s="2">
        <v>1668</v>
      </c>
      <c r="H234" s="1">
        <v>1839</v>
      </c>
      <c r="I234" s="3">
        <f t="shared" si="3"/>
        <v>0.52437981180496152</v>
      </c>
      <c r="N234" t="s">
        <v>30</v>
      </c>
      <c r="O234" t="s">
        <v>21</v>
      </c>
      <c r="P234" t="s">
        <v>38</v>
      </c>
      <c r="Q234" s="1">
        <v>630</v>
      </c>
      <c r="R234">
        <v>36</v>
      </c>
      <c r="S234">
        <v>6</v>
      </c>
      <c r="T234">
        <v>234</v>
      </c>
      <c r="U234" s="1">
        <v>396</v>
      </c>
      <c r="V234" s="3">
        <v>0.62857142857142856</v>
      </c>
    </row>
    <row r="235" spans="1:22" x14ac:dyDescent="0.25">
      <c r="A235" t="s">
        <v>20</v>
      </c>
      <c r="B235" t="s">
        <v>18</v>
      </c>
      <c r="C235" t="s">
        <v>35</v>
      </c>
      <c r="D235" s="1">
        <v>4319</v>
      </c>
      <c r="E235">
        <v>30</v>
      </c>
      <c r="F235">
        <v>9</v>
      </c>
      <c r="G235">
        <v>280</v>
      </c>
      <c r="H235" s="1">
        <v>4039</v>
      </c>
      <c r="I235" s="3">
        <f t="shared" si="3"/>
        <v>0.93517017828200977</v>
      </c>
      <c r="N235" t="s">
        <v>15</v>
      </c>
      <c r="O235" t="s">
        <v>13</v>
      </c>
      <c r="P235" t="s">
        <v>43</v>
      </c>
      <c r="Q235" s="1">
        <v>2429</v>
      </c>
      <c r="R235">
        <v>144</v>
      </c>
      <c r="S235">
        <v>17</v>
      </c>
      <c r="T235" s="2">
        <v>2409</v>
      </c>
      <c r="U235" s="1">
        <v>20</v>
      </c>
      <c r="V235" s="3">
        <v>8.2338410868670227E-3</v>
      </c>
    </row>
    <row r="236" spans="1:22" x14ac:dyDescent="0.25">
      <c r="A236" t="s">
        <v>9</v>
      </c>
      <c r="B236" t="s">
        <v>24</v>
      </c>
      <c r="C236" t="s">
        <v>46</v>
      </c>
      <c r="D236" s="1">
        <v>609</v>
      </c>
      <c r="E236">
        <v>87</v>
      </c>
      <c r="F236">
        <v>6</v>
      </c>
      <c r="G236">
        <v>487</v>
      </c>
      <c r="H236" s="1">
        <v>122</v>
      </c>
      <c r="I236" s="3">
        <f t="shared" si="3"/>
        <v>0.20032840722495895</v>
      </c>
      <c r="N236" t="s">
        <v>15</v>
      </c>
      <c r="O236" t="s">
        <v>18</v>
      </c>
      <c r="P236" t="s">
        <v>22</v>
      </c>
      <c r="Q236" s="1">
        <v>2142</v>
      </c>
      <c r="R236">
        <v>114</v>
      </c>
      <c r="S236">
        <v>13</v>
      </c>
      <c r="T236" s="2">
        <v>1499</v>
      </c>
      <c r="U236" s="1">
        <v>643</v>
      </c>
      <c r="V236" s="3">
        <v>0.30018674136321194</v>
      </c>
    </row>
    <row r="237" spans="1:22" x14ac:dyDescent="0.25">
      <c r="A237" t="s">
        <v>9</v>
      </c>
      <c r="B237" t="s">
        <v>21</v>
      </c>
      <c r="C237" t="s">
        <v>43</v>
      </c>
      <c r="D237" s="1">
        <v>6370</v>
      </c>
      <c r="E237">
        <v>30</v>
      </c>
      <c r="F237">
        <v>17</v>
      </c>
      <c r="G237">
        <v>502</v>
      </c>
      <c r="H237" s="1">
        <v>5868</v>
      </c>
      <c r="I237" s="3">
        <f t="shared" si="3"/>
        <v>0.92119309262166404</v>
      </c>
      <c r="N237" t="s">
        <v>27</v>
      </c>
      <c r="O237" t="s">
        <v>10</v>
      </c>
      <c r="P237" t="s">
        <v>11</v>
      </c>
      <c r="Q237" s="1">
        <v>6454</v>
      </c>
      <c r="R237">
        <v>54</v>
      </c>
      <c r="S237">
        <v>14</v>
      </c>
      <c r="T237">
        <v>782</v>
      </c>
      <c r="U237" s="1">
        <v>5672</v>
      </c>
      <c r="V237" s="3">
        <v>0.87883483111248839</v>
      </c>
    </row>
    <row r="238" spans="1:22" x14ac:dyDescent="0.25">
      <c r="A238" t="s">
        <v>29</v>
      </c>
      <c r="B238" t="s">
        <v>24</v>
      </c>
      <c r="C238" t="s">
        <v>40</v>
      </c>
      <c r="D238" s="1">
        <v>5474</v>
      </c>
      <c r="E238">
        <v>168</v>
      </c>
      <c r="F238">
        <v>8</v>
      </c>
      <c r="G238" s="2">
        <v>1284</v>
      </c>
      <c r="H238" s="1">
        <v>4190</v>
      </c>
      <c r="I238" s="3">
        <f t="shared" si="3"/>
        <v>0.76543660942637926</v>
      </c>
      <c r="N238" t="s">
        <v>27</v>
      </c>
      <c r="O238" t="s">
        <v>10</v>
      </c>
      <c r="P238" t="s">
        <v>33</v>
      </c>
      <c r="Q238" s="1">
        <v>4487</v>
      </c>
      <c r="R238">
        <v>333</v>
      </c>
      <c r="S238">
        <v>9</v>
      </c>
      <c r="T238" s="2">
        <v>2927</v>
      </c>
      <c r="U238" s="1">
        <v>1560</v>
      </c>
      <c r="V238" s="3">
        <v>0.34767104969913082</v>
      </c>
    </row>
    <row r="239" spans="1:22" x14ac:dyDescent="0.25">
      <c r="A239" t="s">
        <v>9</v>
      </c>
      <c r="B239" t="s">
        <v>18</v>
      </c>
      <c r="C239" t="s">
        <v>43</v>
      </c>
      <c r="D239" s="1">
        <v>3164</v>
      </c>
      <c r="E239">
        <v>306</v>
      </c>
      <c r="F239">
        <v>17</v>
      </c>
      <c r="G239" s="2">
        <v>5119</v>
      </c>
      <c r="H239" s="1">
        <v>-1955</v>
      </c>
      <c r="I239" s="3">
        <f t="shared" si="3"/>
        <v>-0.61788874841972186</v>
      </c>
      <c r="N239" t="s">
        <v>31</v>
      </c>
      <c r="O239" t="s">
        <v>24</v>
      </c>
      <c r="P239" t="s">
        <v>46</v>
      </c>
      <c r="Q239" s="1">
        <v>8841</v>
      </c>
      <c r="R239">
        <v>303</v>
      </c>
      <c r="S239">
        <v>6</v>
      </c>
      <c r="T239" s="2">
        <v>1697</v>
      </c>
      <c r="U239" s="1">
        <v>7144</v>
      </c>
      <c r="V239" s="3">
        <v>0.80805338762583423</v>
      </c>
    </row>
    <row r="240" spans="1:22" x14ac:dyDescent="0.25">
      <c r="A240" t="s">
        <v>20</v>
      </c>
      <c r="B240" t="s">
        <v>13</v>
      </c>
      <c r="C240" t="s">
        <v>16</v>
      </c>
      <c r="D240" s="1">
        <v>1302</v>
      </c>
      <c r="E240">
        <v>402</v>
      </c>
      <c r="F240">
        <v>12</v>
      </c>
      <c r="G240" s="2">
        <v>4776</v>
      </c>
      <c r="H240" s="1">
        <v>-3474</v>
      </c>
      <c r="I240" s="3">
        <f t="shared" si="3"/>
        <v>-2.6682027649769586</v>
      </c>
      <c r="N240" t="s">
        <v>30</v>
      </c>
      <c r="O240" t="s">
        <v>21</v>
      </c>
      <c r="P240" t="s">
        <v>23</v>
      </c>
      <c r="Q240" s="1">
        <v>4018</v>
      </c>
      <c r="R240">
        <v>126</v>
      </c>
      <c r="S240">
        <v>12</v>
      </c>
      <c r="T240" s="2">
        <v>1559</v>
      </c>
      <c r="U240" s="1">
        <v>2459</v>
      </c>
      <c r="V240" s="3">
        <v>0.61199601791936287</v>
      </c>
    </row>
    <row r="241" spans="1:22" x14ac:dyDescent="0.25">
      <c r="A241" t="s">
        <v>31</v>
      </c>
      <c r="B241" t="s">
        <v>10</v>
      </c>
      <c r="C241" t="s">
        <v>44</v>
      </c>
      <c r="D241" s="1">
        <v>7308</v>
      </c>
      <c r="E241">
        <v>327</v>
      </c>
      <c r="F241">
        <v>10</v>
      </c>
      <c r="G241" s="2">
        <v>3394</v>
      </c>
      <c r="H241" s="1">
        <v>3914</v>
      </c>
      <c r="I241" s="3">
        <f t="shared" si="3"/>
        <v>0.53557744937055285</v>
      </c>
      <c r="N241" t="s">
        <v>15</v>
      </c>
      <c r="O241" t="s">
        <v>24</v>
      </c>
      <c r="P241" t="s">
        <v>22</v>
      </c>
      <c r="Q241" s="1">
        <v>3850</v>
      </c>
      <c r="R241">
        <v>102</v>
      </c>
      <c r="S241">
        <v>13</v>
      </c>
      <c r="T241" s="2">
        <v>1341</v>
      </c>
      <c r="U241" s="1">
        <v>2509</v>
      </c>
      <c r="V241" s="3">
        <v>0.65168831168831165</v>
      </c>
    </row>
    <row r="242" spans="1:22" x14ac:dyDescent="0.25">
      <c r="A242" t="s">
        <v>9</v>
      </c>
      <c r="B242" t="s">
        <v>10</v>
      </c>
      <c r="C242" t="s">
        <v>43</v>
      </c>
      <c r="D242" s="1">
        <v>6132</v>
      </c>
      <c r="E242">
        <v>93</v>
      </c>
      <c r="F242">
        <v>17</v>
      </c>
      <c r="G242" s="2">
        <v>1556</v>
      </c>
      <c r="H242" s="1">
        <v>4576</v>
      </c>
      <c r="I242" s="3">
        <f t="shared" si="3"/>
        <v>0.74624918460534895</v>
      </c>
    </row>
    <row r="243" spans="1:22" x14ac:dyDescent="0.25">
      <c r="A243" t="s">
        <v>39</v>
      </c>
      <c r="B243" t="s">
        <v>13</v>
      </c>
      <c r="C243" t="s">
        <v>28</v>
      </c>
      <c r="D243" s="1">
        <v>3472</v>
      </c>
      <c r="E243">
        <v>96</v>
      </c>
      <c r="F243">
        <v>12</v>
      </c>
      <c r="G243" s="2">
        <v>1123</v>
      </c>
      <c r="H243" s="1">
        <v>2349</v>
      </c>
      <c r="I243" s="3">
        <f t="shared" si="3"/>
        <v>0.67655529953917048</v>
      </c>
    </row>
    <row r="244" spans="1:22" x14ac:dyDescent="0.25">
      <c r="A244" t="s">
        <v>12</v>
      </c>
      <c r="B244" t="s">
        <v>21</v>
      </c>
      <c r="C244" t="s">
        <v>19</v>
      </c>
      <c r="D244" s="1">
        <v>9660</v>
      </c>
      <c r="E244">
        <v>27</v>
      </c>
      <c r="F244">
        <v>6</v>
      </c>
      <c r="G244">
        <v>175</v>
      </c>
      <c r="H244" s="1">
        <v>9485</v>
      </c>
      <c r="I244" s="3">
        <f t="shared" si="3"/>
        <v>0.98188405797101452</v>
      </c>
    </row>
    <row r="245" spans="1:22" x14ac:dyDescent="0.25">
      <c r="A245" t="s">
        <v>15</v>
      </c>
      <c r="B245" t="s">
        <v>24</v>
      </c>
      <c r="C245" t="s">
        <v>46</v>
      </c>
      <c r="D245" s="1">
        <v>2436</v>
      </c>
      <c r="E245">
        <v>99</v>
      </c>
      <c r="F245">
        <v>6</v>
      </c>
      <c r="G245">
        <v>554</v>
      </c>
      <c r="H245" s="1">
        <v>1882</v>
      </c>
      <c r="I245" s="3">
        <f t="shared" si="3"/>
        <v>0.77257799671592775</v>
      </c>
    </row>
    <row r="246" spans="1:22" x14ac:dyDescent="0.25">
      <c r="A246" t="s">
        <v>15</v>
      </c>
      <c r="B246" t="s">
        <v>24</v>
      </c>
      <c r="C246" t="s">
        <v>23</v>
      </c>
      <c r="D246" s="1">
        <v>9506</v>
      </c>
      <c r="E246">
        <v>87</v>
      </c>
      <c r="F246">
        <v>12</v>
      </c>
      <c r="G246" s="2">
        <v>1076</v>
      </c>
      <c r="H246" s="1">
        <v>8430</v>
      </c>
      <c r="I246" s="3">
        <f t="shared" si="3"/>
        <v>0.88680833158005468</v>
      </c>
    </row>
    <row r="247" spans="1:22" x14ac:dyDescent="0.25">
      <c r="A247" t="s">
        <v>39</v>
      </c>
      <c r="B247" t="s">
        <v>10</v>
      </c>
      <c r="C247" t="s">
        <v>45</v>
      </c>
      <c r="D247" s="1">
        <v>245</v>
      </c>
      <c r="E247">
        <v>288</v>
      </c>
      <c r="F247">
        <v>9</v>
      </c>
      <c r="G247" s="2">
        <v>2592</v>
      </c>
      <c r="H247" s="1">
        <v>-2347</v>
      </c>
      <c r="I247" s="3">
        <f t="shared" si="3"/>
        <v>-9.5795918367346946</v>
      </c>
    </row>
    <row r="248" spans="1:22" x14ac:dyDescent="0.25">
      <c r="A248" t="s">
        <v>12</v>
      </c>
      <c r="B248" t="s">
        <v>13</v>
      </c>
      <c r="C248" t="s">
        <v>37</v>
      </c>
      <c r="D248" s="1">
        <v>2702</v>
      </c>
      <c r="E248">
        <v>363</v>
      </c>
      <c r="F248">
        <v>11</v>
      </c>
      <c r="G248" s="2">
        <v>3855</v>
      </c>
      <c r="H248" s="1">
        <v>-1153</v>
      </c>
      <c r="I248" s="3">
        <f t="shared" si="3"/>
        <v>-0.42672094744633604</v>
      </c>
    </row>
    <row r="249" spans="1:22" x14ac:dyDescent="0.25">
      <c r="A249" t="s">
        <v>39</v>
      </c>
      <c r="B249" t="s">
        <v>34</v>
      </c>
      <c r="C249" t="s">
        <v>32</v>
      </c>
      <c r="D249" s="1">
        <v>700</v>
      </c>
      <c r="E249">
        <v>87</v>
      </c>
      <c r="F249">
        <v>3</v>
      </c>
      <c r="G249">
        <v>271</v>
      </c>
      <c r="H249" s="1">
        <v>429</v>
      </c>
      <c r="I249" s="3">
        <f t="shared" si="3"/>
        <v>0.61285714285714288</v>
      </c>
    </row>
    <row r="250" spans="1:22" x14ac:dyDescent="0.25">
      <c r="A250" t="s">
        <v>20</v>
      </c>
      <c r="B250" t="s">
        <v>34</v>
      </c>
      <c r="C250" t="s">
        <v>32</v>
      </c>
      <c r="D250" s="1">
        <v>3759</v>
      </c>
      <c r="E250">
        <v>150</v>
      </c>
      <c r="F250">
        <v>3</v>
      </c>
      <c r="G250">
        <v>467</v>
      </c>
      <c r="H250" s="1">
        <v>3293</v>
      </c>
      <c r="I250" s="3">
        <f t="shared" si="3"/>
        <v>0.87603085927108271</v>
      </c>
    </row>
    <row r="251" spans="1:22" x14ac:dyDescent="0.25">
      <c r="A251" t="s">
        <v>30</v>
      </c>
      <c r="B251" t="s">
        <v>13</v>
      </c>
      <c r="C251" t="s">
        <v>32</v>
      </c>
      <c r="D251" s="1">
        <v>1589</v>
      </c>
      <c r="E251">
        <v>303</v>
      </c>
      <c r="F251">
        <v>3</v>
      </c>
      <c r="G251">
        <v>942</v>
      </c>
      <c r="H251" s="1">
        <v>647</v>
      </c>
      <c r="I251" s="3">
        <f t="shared" si="3"/>
        <v>0.40717432347388294</v>
      </c>
    </row>
    <row r="252" spans="1:22" x14ac:dyDescent="0.25">
      <c r="A252" t="s">
        <v>27</v>
      </c>
      <c r="B252" t="s">
        <v>13</v>
      </c>
      <c r="C252" t="s">
        <v>44</v>
      </c>
      <c r="D252" s="1">
        <v>5194</v>
      </c>
      <c r="E252">
        <v>288</v>
      </c>
      <c r="F252">
        <v>10</v>
      </c>
      <c r="G252" s="2">
        <v>2989</v>
      </c>
      <c r="H252" s="1">
        <v>2205</v>
      </c>
      <c r="I252" s="3">
        <f t="shared" si="3"/>
        <v>0.42452830188679247</v>
      </c>
    </row>
    <row r="253" spans="1:22" x14ac:dyDescent="0.25">
      <c r="A253" t="s">
        <v>39</v>
      </c>
      <c r="B253" t="s">
        <v>18</v>
      </c>
      <c r="C253" t="s">
        <v>35</v>
      </c>
      <c r="D253" s="1">
        <v>945</v>
      </c>
      <c r="E253">
        <v>75</v>
      </c>
      <c r="F253">
        <v>9</v>
      </c>
      <c r="G253">
        <v>700</v>
      </c>
      <c r="H253" s="1">
        <v>245</v>
      </c>
      <c r="I253" s="3">
        <f t="shared" si="3"/>
        <v>0.25925925925925924</v>
      </c>
    </row>
    <row r="254" spans="1:22" x14ac:dyDescent="0.25">
      <c r="A254" t="s">
        <v>9</v>
      </c>
      <c r="B254" t="s">
        <v>24</v>
      </c>
      <c r="C254" t="s">
        <v>25</v>
      </c>
      <c r="D254" s="1">
        <v>1988</v>
      </c>
      <c r="E254">
        <v>39</v>
      </c>
      <c r="F254">
        <v>6</v>
      </c>
      <c r="G254">
        <v>226</v>
      </c>
      <c r="H254" s="1">
        <v>1762</v>
      </c>
      <c r="I254" s="3">
        <f t="shared" si="3"/>
        <v>0.88631790744466799</v>
      </c>
    </row>
    <row r="255" spans="1:22" x14ac:dyDescent="0.25">
      <c r="A255" t="s">
        <v>20</v>
      </c>
      <c r="B255" t="s">
        <v>34</v>
      </c>
      <c r="C255" t="s">
        <v>14</v>
      </c>
      <c r="D255" s="1">
        <v>6734</v>
      </c>
      <c r="E255">
        <v>123</v>
      </c>
      <c r="F255">
        <v>9</v>
      </c>
      <c r="G255" s="2">
        <v>1064</v>
      </c>
      <c r="H255" s="1">
        <v>5670</v>
      </c>
      <c r="I255" s="3">
        <f t="shared" si="3"/>
        <v>0.84199584199584199</v>
      </c>
    </row>
    <row r="256" spans="1:22" x14ac:dyDescent="0.25">
      <c r="A256" t="s">
        <v>9</v>
      </c>
      <c r="B256" t="s">
        <v>18</v>
      </c>
      <c r="C256" t="s">
        <v>16</v>
      </c>
      <c r="D256" s="1">
        <v>217</v>
      </c>
      <c r="E256">
        <v>36</v>
      </c>
      <c r="F256">
        <v>12</v>
      </c>
      <c r="G256">
        <v>428</v>
      </c>
      <c r="H256" s="1">
        <v>-211</v>
      </c>
      <c r="I256" s="3">
        <f t="shared" si="3"/>
        <v>-0.97235023041474655</v>
      </c>
    </row>
    <row r="257" spans="1:9" x14ac:dyDescent="0.25">
      <c r="A257" t="s">
        <v>29</v>
      </c>
      <c r="B257" t="s">
        <v>34</v>
      </c>
      <c r="C257" t="s">
        <v>26</v>
      </c>
      <c r="D257" s="1">
        <v>6279</v>
      </c>
      <c r="E257">
        <v>237</v>
      </c>
      <c r="F257">
        <v>10</v>
      </c>
      <c r="G257" s="2">
        <v>2315</v>
      </c>
      <c r="H257" s="1">
        <v>3964</v>
      </c>
      <c r="I257" s="3">
        <f t="shared" si="3"/>
        <v>0.63131071826724006</v>
      </c>
    </row>
    <row r="258" spans="1:9" x14ac:dyDescent="0.25">
      <c r="A258" t="s">
        <v>9</v>
      </c>
      <c r="B258" t="s">
        <v>18</v>
      </c>
      <c r="C258" t="s">
        <v>35</v>
      </c>
      <c r="D258" s="1">
        <v>4424</v>
      </c>
      <c r="E258">
        <v>201</v>
      </c>
      <c r="F258">
        <v>9</v>
      </c>
      <c r="G258" s="2">
        <v>1875</v>
      </c>
      <c r="H258" s="1">
        <v>2549</v>
      </c>
      <c r="I258" s="3">
        <f t="shared" si="3"/>
        <v>0.5761754068716094</v>
      </c>
    </row>
    <row r="259" spans="1:9" x14ac:dyDescent="0.25">
      <c r="A259" t="s">
        <v>30</v>
      </c>
      <c r="B259" t="s">
        <v>18</v>
      </c>
      <c r="C259" t="s">
        <v>32</v>
      </c>
      <c r="D259" s="1">
        <v>189</v>
      </c>
      <c r="E259">
        <v>48</v>
      </c>
      <c r="F259">
        <v>3</v>
      </c>
      <c r="G259">
        <v>149</v>
      </c>
      <c r="H259" s="1">
        <v>40</v>
      </c>
      <c r="I259" s="3">
        <f t="shared" ref="I259:I301" si="4">IFERROR(H259/D259, 0)</f>
        <v>0.21164021164021163</v>
      </c>
    </row>
    <row r="260" spans="1:9" x14ac:dyDescent="0.25">
      <c r="A260" t="s">
        <v>29</v>
      </c>
      <c r="B260" t="s">
        <v>13</v>
      </c>
      <c r="C260" t="s">
        <v>26</v>
      </c>
      <c r="D260" s="1">
        <v>490</v>
      </c>
      <c r="E260">
        <v>84</v>
      </c>
      <c r="F260">
        <v>10</v>
      </c>
      <c r="G260">
        <v>821</v>
      </c>
      <c r="H260" s="1">
        <v>-331</v>
      </c>
      <c r="I260" s="3">
        <f t="shared" si="4"/>
        <v>-0.67551020408163265</v>
      </c>
    </row>
    <row r="261" spans="1:9" x14ac:dyDescent="0.25">
      <c r="A261" t="s">
        <v>12</v>
      </c>
      <c r="B261" t="s">
        <v>10</v>
      </c>
      <c r="C261" t="s">
        <v>45</v>
      </c>
      <c r="D261" s="1">
        <v>434</v>
      </c>
      <c r="E261">
        <v>87</v>
      </c>
      <c r="F261">
        <v>9</v>
      </c>
      <c r="G261">
        <v>783</v>
      </c>
      <c r="H261" s="1">
        <v>-349</v>
      </c>
      <c r="I261" s="3">
        <f t="shared" si="4"/>
        <v>-0.80414746543778803</v>
      </c>
    </row>
    <row r="262" spans="1:9" x14ac:dyDescent="0.25">
      <c r="A262" t="s">
        <v>27</v>
      </c>
      <c r="B262" t="s">
        <v>24</v>
      </c>
      <c r="C262" t="s">
        <v>11</v>
      </c>
      <c r="D262" s="1">
        <v>10129</v>
      </c>
      <c r="E262">
        <v>312</v>
      </c>
      <c r="F262">
        <v>14</v>
      </c>
      <c r="G262" s="2">
        <v>4521</v>
      </c>
      <c r="H262" s="1">
        <v>5608</v>
      </c>
      <c r="I262" s="3">
        <f t="shared" si="4"/>
        <v>0.55365781419686055</v>
      </c>
    </row>
    <row r="263" spans="1:9" x14ac:dyDescent="0.25">
      <c r="A263" t="s">
        <v>31</v>
      </c>
      <c r="B263" t="s">
        <v>21</v>
      </c>
      <c r="C263" t="s">
        <v>44</v>
      </c>
      <c r="D263" s="1">
        <v>1652</v>
      </c>
      <c r="E263">
        <v>102</v>
      </c>
      <c r="F263">
        <v>10</v>
      </c>
      <c r="G263" s="2">
        <v>1059</v>
      </c>
      <c r="H263" s="1">
        <v>593</v>
      </c>
      <c r="I263" s="3">
        <f t="shared" si="4"/>
        <v>0.35895883777239712</v>
      </c>
    </row>
    <row r="264" spans="1:9" x14ac:dyDescent="0.25">
      <c r="A264" t="s">
        <v>12</v>
      </c>
      <c r="B264" t="s">
        <v>24</v>
      </c>
      <c r="C264" t="s">
        <v>45</v>
      </c>
      <c r="D264" s="1">
        <v>6433</v>
      </c>
      <c r="E264">
        <v>78</v>
      </c>
      <c r="F264">
        <v>9</v>
      </c>
      <c r="G264">
        <v>702</v>
      </c>
      <c r="H264" s="1">
        <v>5731</v>
      </c>
      <c r="I264" s="3">
        <f t="shared" si="4"/>
        <v>0.89087517487952739</v>
      </c>
    </row>
    <row r="265" spans="1:9" x14ac:dyDescent="0.25">
      <c r="A265" t="s">
        <v>31</v>
      </c>
      <c r="B265" t="s">
        <v>34</v>
      </c>
      <c r="C265" t="s">
        <v>38</v>
      </c>
      <c r="D265" s="1">
        <v>2212</v>
      </c>
      <c r="E265">
        <v>117</v>
      </c>
      <c r="F265">
        <v>6</v>
      </c>
      <c r="G265">
        <v>759</v>
      </c>
      <c r="H265" s="1">
        <v>1453</v>
      </c>
      <c r="I265" s="3">
        <f t="shared" si="4"/>
        <v>0.65687160940325495</v>
      </c>
    </row>
    <row r="266" spans="1:9" x14ac:dyDescent="0.25">
      <c r="A266" t="s">
        <v>17</v>
      </c>
      <c r="B266" t="s">
        <v>13</v>
      </c>
      <c r="C266" t="s">
        <v>40</v>
      </c>
      <c r="D266" s="1">
        <v>609</v>
      </c>
      <c r="E266">
        <v>99</v>
      </c>
      <c r="F266">
        <v>8</v>
      </c>
      <c r="G266">
        <v>756</v>
      </c>
      <c r="H266" s="1">
        <v>-147</v>
      </c>
      <c r="I266" s="3">
        <f t="shared" si="4"/>
        <v>-0.2413793103448276</v>
      </c>
    </row>
    <row r="267" spans="1:9" x14ac:dyDescent="0.25">
      <c r="A267" t="s">
        <v>9</v>
      </c>
      <c r="B267" t="s">
        <v>13</v>
      </c>
      <c r="C267" t="s">
        <v>42</v>
      </c>
      <c r="D267" s="1">
        <v>1638</v>
      </c>
      <c r="E267">
        <v>48</v>
      </c>
      <c r="F267">
        <v>5</v>
      </c>
      <c r="G267">
        <v>239</v>
      </c>
      <c r="H267" s="1">
        <v>1399</v>
      </c>
      <c r="I267" s="3">
        <f t="shared" si="4"/>
        <v>0.85409035409035405</v>
      </c>
    </row>
    <row r="268" spans="1:9" x14ac:dyDescent="0.25">
      <c r="A268" t="s">
        <v>27</v>
      </c>
      <c r="B268" t="s">
        <v>34</v>
      </c>
      <c r="C268" t="s">
        <v>41</v>
      </c>
      <c r="D268" s="1">
        <v>3829</v>
      </c>
      <c r="E268">
        <v>24</v>
      </c>
      <c r="F268">
        <v>12</v>
      </c>
      <c r="G268">
        <v>282</v>
      </c>
      <c r="H268" s="1">
        <v>3547</v>
      </c>
      <c r="I268" s="3">
        <f t="shared" si="4"/>
        <v>0.92635152781405061</v>
      </c>
    </row>
    <row r="269" spans="1:9" x14ac:dyDescent="0.25">
      <c r="A269" t="s">
        <v>9</v>
      </c>
      <c r="B269" t="s">
        <v>21</v>
      </c>
      <c r="C269" t="s">
        <v>41</v>
      </c>
      <c r="D269" s="1">
        <v>5775</v>
      </c>
      <c r="E269">
        <v>42</v>
      </c>
      <c r="F269">
        <v>12</v>
      </c>
      <c r="G269">
        <v>493</v>
      </c>
      <c r="H269" s="1">
        <v>5282</v>
      </c>
      <c r="I269" s="3">
        <f t="shared" si="4"/>
        <v>0.91463203463203469</v>
      </c>
    </row>
    <row r="270" spans="1:9" x14ac:dyDescent="0.25">
      <c r="A270" t="s">
        <v>20</v>
      </c>
      <c r="B270" t="s">
        <v>13</v>
      </c>
      <c r="C270" t="s">
        <v>37</v>
      </c>
      <c r="D270" s="1">
        <v>1071</v>
      </c>
      <c r="E270">
        <v>270</v>
      </c>
      <c r="F270">
        <v>11</v>
      </c>
      <c r="G270" s="2">
        <v>2867</v>
      </c>
      <c r="H270" s="1">
        <v>-1796</v>
      </c>
      <c r="I270" s="3">
        <f t="shared" si="4"/>
        <v>-1.676937441643324</v>
      </c>
    </row>
    <row r="271" spans="1:9" x14ac:dyDescent="0.25">
      <c r="A271" t="s">
        <v>12</v>
      </c>
      <c r="B271" t="s">
        <v>18</v>
      </c>
      <c r="C271" t="s">
        <v>38</v>
      </c>
      <c r="D271" s="1">
        <v>5019</v>
      </c>
      <c r="E271">
        <v>150</v>
      </c>
      <c r="F271">
        <v>6</v>
      </c>
      <c r="G271">
        <v>974</v>
      </c>
      <c r="H271" s="1">
        <v>4046</v>
      </c>
      <c r="I271" s="3">
        <f t="shared" si="4"/>
        <v>0.80613668061366806</v>
      </c>
    </row>
    <row r="272" spans="1:9" x14ac:dyDescent="0.25">
      <c r="A272" t="s">
        <v>30</v>
      </c>
      <c r="B272" t="s">
        <v>10</v>
      </c>
      <c r="C272" t="s">
        <v>41</v>
      </c>
      <c r="D272" s="1">
        <v>2863</v>
      </c>
      <c r="E272">
        <v>42</v>
      </c>
      <c r="F272">
        <v>12</v>
      </c>
      <c r="G272">
        <v>493</v>
      </c>
      <c r="H272" s="1">
        <v>2370</v>
      </c>
      <c r="I272" s="3">
        <f t="shared" si="4"/>
        <v>0.82780300384212369</v>
      </c>
    </row>
    <row r="273" spans="1:9" x14ac:dyDescent="0.25">
      <c r="A273" t="s">
        <v>9</v>
      </c>
      <c r="B273" t="s">
        <v>13</v>
      </c>
      <c r="C273" t="s">
        <v>36</v>
      </c>
      <c r="D273" s="1">
        <v>1617</v>
      </c>
      <c r="E273">
        <v>126</v>
      </c>
      <c r="F273">
        <v>7</v>
      </c>
      <c r="G273">
        <v>902</v>
      </c>
      <c r="H273" s="1">
        <v>715</v>
      </c>
      <c r="I273" s="3">
        <f t="shared" si="4"/>
        <v>0.44217687074829931</v>
      </c>
    </row>
    <row r="274" spans="1:9" x14ac:dyDescent="0.25">
      <c r="A274" t="s">
        <v>20</v>
      </c>
      <c r="B274" t="s">
        <v>10</v>
      </c>
      <c r="C274" t="s">
        <v>46</v>
      </c>
      <c r="D274" s="1">
        <v>6818</v>
      </c>
      <c r="E274">
        <v>6</v>
      </c>
      <c r="F274">
        <v>6</v>
      </c>
      <c r="G274">
        <v>34</v>
      </c>
      <c r="H274" s="1">
        <v>6784</v>
      </c>
      <c r="I274" s="3">
        <f t="shared" si="4"/>
        <v>0.99501320035200935</v>
      </c>
    </row>
    <row r="275" spans="1:9" x14ac:dyDescent="0.25">
      <c r="A275" t="s">
        <v>31</v>
      </c>
      <c r="B275" t="s">
        <v>13</v>
      </c>
      <c r="C275" t="s">
        <v>41</v>
      </c>
      <c r="D275" s="1">
        <v>6657</v>
      </c>
      <c r="E275">
        <v>276</v>
      </c>
      <c r="F275">
        <v>12</v>
      </c>
      <c r="G275" s="2">
        <v>3237</v>
      </c>
      <c r="H275" s="1">
        <v>3420</v>
      </c>
      <c r="I275" s="3">
        <f t="shared" si="4"/>
        <v>0.51374493014871558</v>
      </c>
    </row>
    <row r="276" spans="1:9" x14ac:dyDescent="0.25">
      <c r="A276" t="s">
        <v>31</v>
      </c>
      <c r="B276" t="s">
        <v>34</v>
      </c>
      <c r="C276" t="s">
        <v>32</v>
      </c>
      <c r="D276" s="1">
        <v>2919</v>
      </c>
      <c r="E276">
        <v>93</v>
      </c>
      <c r="F276">
        <v>3</v>
      </c>
      <c r="G276">
        <v>289</v>
      </c>
      <c r="H276" s="1">
        <v>2630</v>
      </c>
      <c r="I276" s="3">
        <f t="shared" si="4"/>
        <v>0.90099349092154846</v>
      </c>
    </row>
    <row r="277" spans="1:9" x14ac:dyDescent="0.25">
      <c r="A277" t="s">
        <v>30</v>
      </c>
      <c r="B277" t="s">
        <v>18</v>
      </c>
      <c r="C277" t="s">
        <v>25</v>
      </c>
      <c r="D277" s="1">
        <v>3094</v>
      </c>
      <c r="E277">
        <v>246</v>
      </c>
      <c r="F277">
        <v>6</v>
      </c>
      <c r="G277" s="2">
        <v>1424</v>
      </c>
      <c r="H277" s="1">
        <v>1670</v>
      </c>
      <c r="I277" s="3">
        <f t="shared" si="4"/>
        <v>0.53975436328377502</v>
      </c>
    </row>
    <row r="278" spans="1:9" x14ac:dyDescent="0.25">
      <c r="A278" t="s">
        <v>20</v>
      </c>
      <c r="B278" t="s">
        <v>21</v>
      </c>
      <c r="C278" t="s">
        <v>42</v>
      </c>
      <c r="D278" s="1">
        <v>2989</v>
      </c>
      <c r="E278">
        <v>3</v>
      </c>
      <c r="F278">
        <v>5</v>
      </c>
      <c r="G278">
        <v>15</v>
      </c>
      <c r="H278" s="1">
        <v>2974</v>
      </c>
      <c r="I278" s="3">
        <f t="shared" si="4"/>
        <v>0.99498159919705587</v>
      </c>
    </row>
    <row r="279" spans="1:9" x14ac:dyDescent="0.25">
      <c r="A279" t="s">
        <v>12</v>
      </c>
      <c r="B279" t="s">
        <v>24</v>
      </c>
      <c r="C279" t="s">
        <v>43</v>
      </c>
      <c r="D279" s="1">
        <v>2268</v>
      </c>
      <c r="E279">
        <v>63</v>
      </c>
      <c r="F279">
        <v>17</v>
      </c>
      <c r="G279" s="2">
        <v>1054</v>
      </c>
      <c r="H279" s="1">
        <v>1214</v>
      </c>
      <c r="I279" s="3">
        <f t="shared" si="4"/>
        <v>0.53527336860670194</v>
      </c>
    </row>
    <row r="280" spans="1:9" x14ac:dyDescent="0.25">
      <c r="A280" t="s">
        <v>29</v>
      </c>
      <c r="B280" t="s">
        <v>13</v>
      </c>
      <c r="C280" t="s">
        <v>25</v>
      </c>
      <c r="D280" s="1">
        <v>4753</v>
      </c>
      <c r="E280">
        <v>246</v>
      </c>
      <c r="F280">
        <v>6</v>
      </c>
      <c r="G280" s="2">
        <v>1424</v>
      </c>
      <c r="H280" s="1">
        <v>3329</v>
      </c>
      <c r="I280" s="3">
        <f t="shared" si="4"/>
        <v>0.70039974752787715</v>
      </c>
    </row>
    <row r="281" spans="1:9" x14ac:dyDescent="0.25">
      <c r="A281" t="s">
        <v>30</v>
      </c>
      <c r="B281" t="s">
        <v>34</v>
      </c>
      <c r="C281" t="s">
        <v>40</v>
      </c>
      <c r="D281" s="1">
        <v>7511</v>
      </c>
      <c r="E281">
        <v>120</v>
      </c>
      <c r="F281">
        <v>8</v>
      </c>
      <c r="G281">
        <v>917</v>
      </c>
      <c r="H281" s="1">
        <v>6594</v>
      </c>
      <c r="I281" s="3">
        <f t="shared" si="4"/>
        <v>0.87791239515377451</v>
      </c>
    </row>
    <row r="282" spans="1:9" x14ac:dyDescent="0.25">
      <c r="A282" t="s">
        <v>30</v>
      </c>
      <c r="B282" t="s">
        <v>24</v>
      </c>
      <c r="C282" t="s">
        <v>25</v>
      </c>
      <c r="D282" s="1">
        <v>4326</v>
      </c>
      <c r="E282">
        <v>348</v>
      </c>
      <c r="F282">
        <v>6</v>
      </c>
      <c r="G282" s="2">
        <v>2015</v>
      </c>
      <c r="H282" s="1">
        <v>2311</v>
      </c>
      <c r="I282" s="3">
        <f t="shared" si="4"/>
        <v>0.53421174294960705</v>
      </c>
    </row>
    <row r="283" spans="1:9" x14ac:dyDescent="0.25">
      <c r="A283" t="s">
        <v>17</v>
      </c>
      <c r="B283" t="s">
        <v>34</v>
      </c>
      <c r="C283" t="s">
        <v>38</v>
      </c>
      <c r="D283" s="1">
        <v>4935</v>
      </c>
      <c r="E283">
        <v>126</v>
      </c>
      <c r="F283">
        <v>6</v>
      </c>
      <c r="G283">
        <v>818</v>
      </c>
      <c r="H283" s="1">
        <v>4117</v>
      </c>
      <c r="I283" s="3">
        <f t="shared" si="4"/>
        <v>0.83424518743667675</v>
      </c>
    </row>
    <row r="284" spans="1:9" x14ac:dyDescent="0.25">
      <c r="A284" t="s">
        <v>20</v>
      </c>
      <c r="B284" t="s">
        <v>13</v>
      </c>
      <c r="C284" t="s">
        <v>11</v>
      </c>
      <c r="D284" s="1">
        <v>4781</v>
      </c>
      <c r="E284">
        <v>123</v>
      </c>
      <c r="F284">
        <v>14</v>
      </c>
      <c r="G284" s="2">
        <v>1782</v>
      </c>
      <c r="H284" s="1">
        <v>2999</v>
      </c>
      <c r="I284" s="3">
        <f t="shared" si="4"/>
        <v>0.62727462873875761</v>
      </c>
    </row>
    <row r="285" spans="1:9" x14ac:dyDescent="0.25">
      <c r="A285" t="s">
        <v>29</v>
      </c>
      <c r="B285" t="s">
        <v>24</v>
      </c>
      <c r="C285" t="s">
        <v>22</v>
      </c>
      <c r="D285" s="1">
        <v>7483</v>
      </c>
      <c r="E285">
        <v>45</v>
      </c>
      <c r="F285">
        <v>13</v>
      </c>
      <c r="G285">
        <v>592</v>
      </c>
      <c r="H285" s="1">
        <v>6891</v>
      </c>
      <c r="I285" s="3">
        <f t="shared" si="4"/>
        <v>0.92088734464786848</v>
      </c>
    </row>
    <row r="286" spans="1:9" x14ac:dyDescent="0.25">
      <c r="A286" t="s">
        <v>39</v>
      </c>
      <c r="B286" t="s">
        <v>24</v>
      </c>
      <c r="C286" t="s">
        <v>16</v>
      </c>
      <c r="D286" s="1">
        <v>6860</v>
      </c>
      <c r="E286">
        <v>126</v>
      </c>
      <c r="F286">
        <v>12</v>
      </c>
      <c r="G286" s="2">
        <v>1497</v>
      </c>
      <c r="H286" s="1">
        <v>5363</v>
      </c>
      <c r="I286" s="3">
        <f t="shared" si="4"/>
        <v>0.78177842565597666</v>
      </c>
    </row>
    <row r="287" spans="1:9" x14ac:dyDescent="0.25">
      <c r="A287" t="s">
        <v>9</v>
      </c>
      <c r="B287" t="s">
        <v>10</v>
      </c>
      <c r="C287" t="s">
        <v>36</v>
      </c>
      <c r="D287" s="1">
        <v>9002</v>
      </c>
      <c r="E287">
        <v>72</v>
      </c>
      <c r="F287">
        <v>7</v>
      </c>
      <c r="G287">
        <v>516</v>
      </c>
      <c r="H287" s="1">
        <v>8486</v>
      </c>
      <c r="I287" s="3">
        <f t="shared" si="4"/>
        <v>0.94267940457676069</v>
      </c>
    </row>
    <row r="288" spans="1:9" x14ac:dyDescent="0.25">
      <c r="A288" t="s">
        <v>20</v>
      </c>
      <c r="B288" t="s">
        <v>18</v>
      </c>
      <c r="C288" t="s">
        <v>36</v>
      </c>
      <c r="D288" s="1">
        <v>1400</v>
      </c>
      <c r="E288">
        <v>135</v>
      </c>
      <c r="F288">
        <v>7</v>
      </c>
      <c r="G288">
        <v>967</v>
      </c>
      <c r="H288" s="1">
        <v>433</v>
      </c>
      <c r="I288" s="3">
        <f t="shared" si="4"/>
        <v>0.30928571428571427</v>
      </c>
    </row>
    <row r="289" spans="1:9" x14ac:dyDescent="0.25">
      <c r="A289" t="s">
        <v>39</v>
      </c>
      <c r="B289" t="s">
        <v>34</v>
      </c>
      <c r="C289" t="s">
        <v>26</v>
      </c>
      <c r="D289" s="1">
        <v>4053</v>
      </c>
      <c r="E289">
        <v>24</v>
      </c>
      <c r="F289">
        <v>10</v>
      </c>
      <c r="G289">
        <v>234</v>
      </c>
      <c r="H289" s="1">
        <v>3819</v>
      </c>
      <c r="I289" s="3">
        <f t="shared" si="4"/>
        <v>0.9422649888971133</v>
      </c>
    </row>
    <row r="290" spans="1:9" x14ac:dyDescent="0.25">
      <c r="A290" t="s">
        <v>27</v>
      </c>
      <c r="B290" t="s">
        <v>18</v>
      </c>
      <c r="C290" t="s">
        <v>25</v>
      </c>
      <c r="D290" s="1">
        <v>2149</v>
      </c>
      <c r="E290">
        <v>117</v>
      </c>
      <c r="F290">
        <v>6</v>
      </c>
      <c r="G290">
        <v>677</v>
      </c>
      <c r="H290" s="1">
        <v>1472</v>
      </c>
      <c r="I290" s="3">
        <f t="shared" si="4"/>
        <v>0.68496975337366217</v>
      </c>
    </row>
    <row r="291" spans="1:9" x14ac:dyDescent="0.25">
      <c r="A291" t="s">
        <v>31</v>
      </c>
      <c r="B291" t="s">
        <v>21</v>
      </c>
      <c r="C291" t="s">
        <v>36</v>
      </c>
      <c r="D291" s="1">
        <v>3640</v>
      </c>
      <c r="E291">
        <v>51</v>
      </c>
      <c r="F291">
        <v>7</v>
      </c>
      <c r="G291">
        <v>365</v>
      </c>
      <c r="H291" s="1">
        <v>3275</v>
      </c>
      <c r="I291" s="3">
        <f t="shared" si="4"/>
        <v>0.89972527472527475</v>
      </c>
    </row>
    <row r="292" spans="1:9" x14ac:dyDescent="0.25">
      <c r="A292" t="s">
        <v>30</v>
      </c>
      <c r="B292" t="s">
        <v>21</v>
      </c>
      <c r="C292" t="s">
        <v>38</v>
      </c>
      <c r="D292" s="1">
        <v>630</v>
      </c>
      <c r="E292">
        <v>36</v>
      </c>
      <c r="F292">
        <v>6</v>
      </c>
      <c r="G292">
        <v>234</v>
      </c>
      <c r="H292" s="1">
        <v>396</v>
      </c>
      <c r="I292" s="3">
        <f t="shared" si="4"/>
        <v>0.62857142857142856</v>
      </c>
    </row>
    <row r="293" spans="1:9" x14ac:dyDescent="0.25">
      <c r="A293" t="s">
        <v>15</v>
      </c>
      <c r="B293" t="s">
        <v>13</v>
      </c>
      <c r="C293" t="s">
        <v>43</v>
      </c>
      <c r="D293" s="1">
        <v>2429</v>
      </c>
      <c r="E293">
        <v>144</v>
      </c>
      <c r="F293">
        <v>17</v>
      </c>
      <c r="G293" s="2">
        <v>2409</v>
      </c>
      <c r="H293" s="1">
        <v>20</v>
      </c>
      <c r="I293" s="3">
        <f t="shared" si="4"/>
        <v>8.2338410868670227E-3</v>
      </c>
    </row>
    <row r="294" spans="1:9" x14ac:dyDescent="0.25">
      <c r="A294" t="s">
        <v>15</v>
      </c>
      <c r="B294" t="s">
        <v>18</v>
      </c>
      <c r="C294" t="s">
        <v>22</v>
      </c>
      <c r="D294" s="1">
        <v>2142</v>
      </c>
      <c r="E294">
        <v>114</v>
      </c>
      <c r="F294">
        <v>13</v>
      </c>
      <c r="G294" s="2">
        <v>1499</v>
      </c>
      <c r="H294" s="1">
        <v>643</v>
      </c>
      <c r="I294" s="3">
        <f t="shared" si="4"/>
        <v>0.30018674136321194</v>
      </c>
    </row>
    <row r="295" spans="1:9" x14ac:dyDescent="0.25">
      <c r="A295" t="s">
        <v>27</v>
      </c>
      <c r="B295" t="s">
        <v>10</v>
      </c>
      <c r="C295" t="s">
        <v>11</v>
      </c>
      <c r="D295" s="1">
        <v>6454</v>
      </c>
      <c r="E295">
        <v>54</v>
      </c>
      <c r="F295">
        <v>14</v>
      </c>
      <c r="G295">
        <v>782</v>
      </c>
      <c r="H295" s="1">
        <v>5672</v>
      </c>
      <c r="I295" s="3">
        <f t="shared" si="4"/>
        <v>0.87883483111248839</v>
      </c>
    </row>
    <row r="296" spans="1:9" x14ac:dyDescent="0.25">
      <c r="A296" t="s">
        <v>27</v>
      </c>
      <c r="B296" t="s">
        <v>10</v>
      </c>
      <c r="C296" t="s">
        <v>33</v>
      </c>
      <c r="D296" s="1">
        <v>4487</v>
      </c>
      <c r="E296">
        <v>333</v>
      </c>
      <c r="F296">
        <v>9</v>
      </c>
      <c r="G296" s="2">
        <v>2927</v>
      </c>
      <c r="H296" s="1">
        <v>1560</v>
      </c>
      <c r="I296" s="3">
        <f t="shared" si="4"/>
        <v>0.34767104969913082</v>
      </c>
    </row>
    <row r="297" spans="1:9" x14ac:dyDescent="0.25">
      <c r="A297" t="s">
        <v>31</v>
      </c>
      <c r="B297" t="s">
        <v>10</v>
      </c>
      <c r="C297" t="s">
        <v>16</v>
      </c>
      <c r="D297" s="1">
        <v>938</v>
      </c>
      <c r="E297">
        <v>366</v>
      </c>
      <c r="F297">
        <v>12</v>
      </c>
      <c r="G297" s="2">
        <v>4348</v>
      </c>
      <c r="H297" s="1">
        <v>-3410</v>
      </c>
      <c r="I297" s="3">
        <f t="shared" si="4"/>
        <v>-3.6353944562899785</v>
      </c>
    </row>
    <row r="298" spans="1:9" x14ac:dyDescent="0.25">
      <c r="A298" t="s">
        <v>31</v>
      </c>
      <c r="B298" t="s">
        <v>24</v>
      </c>
      <c r="C298" t="s">
        <v>46</v>
      </c>
      <c r="D298" s="1">
        <v>8841</v>
      </c>
      <c r="E298">
        <v>303</v>
      </c>
      <c r="F298">
        <v>6</v>
      </c>
      <c r="G298" s="2">
        <v>1697</v>
      </c>
      <c r="H298" s="1">
        <v>7144</v>
      </c>
      <c r="I298" s="3">
        <f t="shared" si="4"/>
        <v>0.80805338762583423</v>
      </c>
    </row>
    <row r="299" spans="1:9" x14ac:dyDescent="0.25">
      <c r="A299" t="s">
        <v>30</v>
      </c>
      <c r="B299" t="s">
        <v>21</v>
      </c>
      <c r="C299" t="s">
        <v>23</v>
      </c>
      <c r="D299" s="1">
        <v>4018</v>
      </c>
      <c r="E299">
        <v>126</v>
      </c>
      <c r="F299">
        <v>12</v>
      </c>
      <c r="G299" s="2">
        <v>1559</v>
      </c>
      <c r="H299" s="1">
        <v>2459</v>
      </c>
      <c r="I299" s="3">
        <f t="shared" si="4"/>
        <v>0.61199601791936287</v>
      </c>
    </row>
    <row r="300" spans="1:9" x14ac:dyDescent="0.25">
      <c r="A300" t="s">
        <v>17</v>
      </c>
      <c r="B300" t="s">
        <v>10</v>
      </c>
      <c r="C300" t="s">
        <v>41</v>
      </c>
      <c r="D300" s="1">
        <v>714</v>
      </c>
      <c r="E300">
        <v>231</v>
      </c>
      <c r="F300">
        <v>12</v>
      </c>
      <c r="G300" s="2">
        <v>2710</v>
      </c>
      <c r="H300" s="1">
        <v>-1996</v>
      </c>
      <c r="I300" s="3">
        <f t="shared" si="4"/>
        <v>-2.795518207282913</v>
      </c>
    </row>
    <row r="301" spans="1:9" x14ac:dyDescent="0.25">
      <c r="A301" t="s">
        <v>15</v>
      </c>
      <c r="B301" t="s">
        <v>24</v>
      </c>
      <c r="C301" t="s">
        <v>22</v>
      </c>
      <c r="D301" s="1">
        <v>3850</v>
      </c>
      <c r="E301">
        <v>102</v>
      </c>
      <c r="F301">
        <v>13</v>
      </c>
      <c r="G301" s="2">
        <v>1341</v>
      </c>
      <c r="H301" s="1">
        <v>2509</v>
      </c>
      <c r="I301" s="3">
        <f t="shared" si="4"/>
        <v>0.65168831168831165</v>
      </c>
    </row>
  </sheetData>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BY300"/>
  <sheetViews>
    <sheetView workbookViewId="0">
      <selection activeCell="J4" sqref="J4"/>
    </sheetView>
  </sheetViews>
  <sheetFormatPr defaultRowHeight="15" x14ac:dyDescent="0.25"/>
  <cols>
    <col min="2" max="2" width="21.85546875" customWidth="1"/>
    <col min="3" max="3" width="14.85546875" bestFit="1" customWidth="1"/>
    <col min="4" max="5" width="3.5703125" customWidth="1"/>
    <col min="6" max="6" width="13.140625" customWidth="1"/>
    <col min="7" max="7" width="14.85546875" customWidth="1"/>
    <col min="8" max="9" width="3.5703125" customWidth="1"/>
    <col min="10" max="10" width="21.85546875" customWidth="1"/>
    <col min="11" max="11" width="16.28515625" customWidth="1"/>
    <col min="12" max="12" width="7.42578125" customWidth="1"/>
    <col min="13" max="13" width="6" customWidth="1"/>
    <col min="14" max="14" width="12.5703125" customWidth="1"/>
    <col min="15" max="16" width="6" customWidth="1"/>
    <col min="17" max="17" width="11.28515625" customWidth="1"/>
    <col min="18" max="19" width="5.42578125" customWidth="1"/>
    <col min="20" max="20" width="21.85546875" bestFit="1" customWidth="1"/>
    <col min="21" max="21" width="16.28515625" bestFit="1" customWidth="1"/>
    <col min="22" max="22" width="7.42578125" customWidth="1"/>
    <col min="23" max="23" width="5.7109375" customWidth="1"/>
    <col min="24" max="24" width="12.5703125" customWidth="1"/>
    <col min="25" max="26" width="5.7109375" customWidth="1"/>
    <col min="27" max="27" width="11.28515625" customWidth="1"/>
    <col min="28" max="28" width="5.42578125" customWidth="1"/>
    <col min="29" max="29" width="13.140625" customWidth="1"/>
    <col min="30" max="30" width="14.85546875" customWidth="1"/>
    <col min="31" max="31" width="5.42578125" customWidth="1"/>
    <col min="32" max="32" width="21.85546875" customWidth="1"/>
    <col min="33" max="33" width="14.85546875" customWidth="1"/>
    <col min="34" max="35" width="5.42578125" customWidth="1"/>
    <col min="36" max="36" width="21.85546875" customWidth="1"/>
    <col min="37" max="37" width="12.28515625" customWidth="1"/>
    <col min="38" max="39" width="5.42578125" customWidth="1"/>
    <col min="40" max="40" width="13.140625" customWidth="1"/>
    <col min="41" max="41" width="11.42578125" customWidth="1"/>
    <col min="42" max="42" width="6" customWidth="1"/>
    <col min="43" max="43" width="5.7109375" customWidth="1"/>
    <col min="44" max="44" width="16" customWidth="1"/>
    <col min="45" max="45" width="12.5703125" customWidth="1"/>
    <col min="46" max="46" width="6.42578125" customWidth="1"/>
    <col min="47" max="47" width="5.7109375" customWidth="1"/>
    <col min="48" max="48" width="21.85546875" customWidth="1"/>
    <col min="49" max="49" width="16.28515625" bestFit="1" customWidth="1"/>
    <col min="50" max="50" width="7.42578125" customWidth="1"/>
    <col min="51" max="51" width="5.5703125" customWidth="1"/>
    <col min="52" max="52" width="12.5703125" bestFit="1" customWidth="1"/>
    <col min="53" max="54" width="5.5703125" customWidth="1"/>
    <col min="55" max="55" width="11.28515625" customWidth="1"/>
    <col min="58" max="58" width="16" customWidth="1"/>
    <col min="59" max="59" width="12.28515625" customWidth="1"/>
    <col min="60" max="65" width="12.7109375" customWidth="1"/>
    <col min="68" max="68" width="19.28515625" customWidth="1"/>
    <col min="69" max="69" width="22.85546875" customWidth="1"/>
    <col min="70" max="70" width="12.7109375" customWidth="1"/>
    <col min="71" max="71" width="20.140625" customWidth="1"/>
    <col min="72" max="72" width="12.7109375" customWidth="1"/>
    <col min="73" max="73" width="15" customWidth="1"/>
    <col min="74" max="74" width="14.7109375" customWidth="1"/>
    <col min="75" max="75" width="12.7109375" customWidth="1"/>
    <col min="76" max="76" width="14.85546875" customWidth="1"/>
    <col min="78" max="78" width="12.28515625" customWidth="1"/>
    <col min="79" max="79" width="11.42578125" customWidth="1"/>
    <col min="80" max="80" width="12.140625" customWidth="1"/>
    <col min="81" max="81" width="12.7109375" customWidth="1"/>
  </cols>
  <sheetData>
    <row r="1" spans="2:77" x14ac:dyDescent="0.25">
      <c r="BT1" s="18"/>
    </row>
    <row r="2" spans="2:77" x14ac:dyDescent="0.25">
      <c r="B2" s="26" t="s">
        <v>59</v>
      </c>
      <c r="C2" s="26"/>
      <c r="F2" s="26" t="s">
        <v>58</v>
      </c>
      <c r="G2" s="26"/>
      <c r="J2" s="26" t="s">
        <v>71</v>
      </c>
      <c r="K2" s="26"/>
      <c r="L2" s="26"/>
      <c r="M2" s="26"/>
      <c r="N2" s="26"/>
      <c r="O2" s="26"/>
      <c r="P2" s="26"/>
      <c r="Q2" s="26"/>
      <c r="T2" s="26" t="s">
        <v>61</v>
      </c>
      <c r="U2" s="26"/>
      <c r="V2" s="26"/>
      <c r="W2" s="26"/>
      <c r="X2" s="26"/>
      <c r="Y2" s="26"/>
      <c r="Z2" s="26"/>
      <c r="AA2" s="26"/>
      <c r="AC2" s="26" t="s">
        <v>62</v>
      </c>
      <c r="AD2" s="26"/>
      <c r="AF2" s="26" t="s">
        <v>63</v>
      </c>
      <c r="AG2" s="26"/>
      <c r="AJ2" s="26" t="s">
        <v>67</v>
      </c>
      <c r="AK2" s="26"/>
      <c r="AN2" s="26" t="s">
        <v>64</v>
      </c>
      <c r="AO2" s="26"/>
      <c r="AR2" s="26" t="s">
        <v>70</v>
      </c>
      <c r="AS2" s="26"/>
      <c r="AV2" s="26" t="s">
        <v>66</v>
      </c>
      <c r="AW2" s="26"/>
      <c r="AX2" s="26"/>
      <c r="AY2" s="26"/>
      <c r="AZ2" s="26"/>
      <c r="BA2" s="26"/>
      <c r="BB2" s="26"/>
      <c r="BC2" s="26"/>
      <c r="BF2" s="26" t="s">
        <v>68</v>
      </c>
      <c r="BG2" s="26"/>
      <c r="BH2" s="23"/>
      <c r="BI2" s="23"/>
      <c r="BJ2" s="23"/>
      <c r="BK2" s="23"/>
      <c r="BL2" s="23"/>
      <c r="BM2" s="23"/>
      <c r="BT2" s="18"/>
    </row>
    <row r="3" spans="2:77" x14ac:dyDescent="0.25">
      <c r="B3" s="12" t="s">
        <v>51</v>
      </c>
      <c r="C3" t="s">
        <v>54</v>
      </c>
      <c r="F3" s="12" t="s">
        <v>51</v>
      </c>
      <c r="G3" t="s">
        <v>54</v>
      </c>
      <c r="J3" s="12" t="s">
        <v>52</v>
      </c>
      <c r="K3" s="12" t="s">
        <v>55</v>
      </c>
      <c r="T3" s="12" t="s">
        <v>60</v>
      </c>
      <c r="U3" s="12" t="s">
        <v>55</v>
      </c>
      <c r="AC3" s="12" t="s">
        <v>51</v>
      </c>
      <c r="AD3" t="s">
        <v>54</v>
      </c>
      <c r="AF3" s="12" t="s">
        <v>51</v>
      </c>
      <c r="AG3" t="s">
        <v>54</v>
      </c>
      <c r="AJ3" s="12" t="s">
        <v>51</v>
      </c>
      <c r="AK3" t="s">
        <v>56</v>
      </c>
      <c r="AN3" s="12" t="s">
        <v>51</v>
      </c>
      <c r="AO3" t="s">
        <v>57</v>
      </c>
      <c r="AR3" s="12" t="s">
        <v>51</v>
      </c>
      <c r="AS3" t="s">
        <v>52</v>
      </c>
      <c r="AV3" s="12" t="s">
        <v>65</v>
      </c>
      <c r="AW3" s="12" t="s">
        <v>55</v>
      </c>
      <c r="BF3" s="12" t="s">
        <v>51</v>
      </c>
      <c r="BG3" t="s">
        <v>56</v>
      </c>
    </row>
    <row r="4" spans="2:77" x14ac:dyDescent="0.25">
      <c r="B4" s="13" t="s">
        <v>11</v>
      </c>
      <c r="C4" s="14">
        <v>66500</v>
      </c>
      <c r="F4" s="13" t="s">
        <v>24</v>
      </c>
      <c r="G4" s="14">
        <v>168679</v>
      </c>
      <c r="J4" s="12" t="s">
        <v>51</v>
      </c>
      <c r="K4" t="s">
        <v>24</v>
      </c>
      <c r="L4" t="s">
        <v>18</v>
      </c>
      <c r="M4" t="s">
        <v>34</v>
      </c>
      <c r="N4" t="s">
        <v>10</v>
      </c>
      <c r="O4" t="s">
        <v>21</v>
      </c>
      <c r="P4" t="s">
        <v>13</v>
      </c>
      <c r="Q4" t="s">
        <v>53</v>
      </c>
      <c r="T4" s="12" t="s">
        <v>51</v>
      </c>
      <c r="U4" t="s">
        <v>24</v>
      </c>
      <c r="V4" t="s">
        <v>18</v>
      </c>
      <c r="W4" t="s">
        <v>34</v>
      </c>
      <c r="X4" t="s">
        <v>10</v>
      </c>
      <c r="Y4" t="s">
        <v>21</v>
      </c>
      <c r="Z4" t="s">
        <v>13</v>
      </c>
      <c r="AA4" t="s">
        <v>53</v>
      </c>
      <c r="AC4" s="13" t="s">
        <v>24</v>
      </c>
      <c r="AD4" s="14">
        <v>168679</v>
      </c>
      <c r="AF4" s="13" t="s">
        <v>16</v>
      </c>
      <c r="AG4" s="14">
        <v>33551</v>
      </c>
      <c r="AJ4" s="13" t="s">
        <v>28</v>
      </c>
      <c r="AK4" s="14">
        <v>2022</v>
      </c>
      <c r="AN4" s="13" t="s">
        <v>24</v>
      </c>
      <c r="AO4" s="14">
        <v>60689</v>
      </c>
      <c r="AR4" s="13" t="s">
        <v>30</v>
      </c>
      <c r="AS4" s="14">
        <v>85109</v>
      </c>
      <c r="AV4" s="12" t="s">
        <v>51</v>
      </c>
      <c r="AW4" t="s">
        <v>24</v>
      </c>
      <c r="AX4" t="s">
        <v>18</v>
      </c>
      <c r="AY4" t="s">
        <v>34</v>
      </c>
      <c r="AZ4" t="s">
        <v>10</v>
      </c>
      <c r="BA4" t="s">
        <v>21</v>
      </c>
      <c r="BB4" t="s">
        <v>13</v>
      </c>
      <c r="BC4" t="s">
        <v>53</v>
      </c>
      <c r="BF4" s="13" t="s">
        <v>30</v>
      </c>
      <c r="BG4" s="14">
        <v>4110</v>
      </c>
    </row>
    <row r="5" spans="2:77" x14ac:dyDescent="0.25">
      <c r="B5" s="13" t="s">
        <v>26</v>
      </c>
      <c r="C5" s="14">
        <v>66283</v>
      </c>
      <c r="F5" s="13" t="s">
        <v>18</v>
      </c>
      <c r="G5" s="14">
        <v>237944</v>
      </c>
      <c r="J5" s="13" t="s">
        <v>46</v>
      </c>
      <c r="K5" s="14">
        <v>9148</v>
      </c>
      <c r="L5" s="14"/>
      <c r="M5" s="14">
        <v>19680</v>
      </c>
      <c r="N5" s="14">
        <v>20928</v>
      </c>
      <c r="O5" s="14">
        <v>10358</v>
      </c>
      <c r="P5" s="14"/>
      <c r="Q5" s="14">
        <v>60114</v>
      </c>
      <c r="T5" s="13" t="s">
        <v>28</v>
      </c>
      <c r="U5" s="14">
        <v>-557</v>
      </c>
      <c r="V5" s="14"/>
      <c r="W5" s="14">
        <v>-2385</v>
      </c>
      <c r="X5" s="14"/>
      <c r="Y5" s="14"/>
      <c r="Z5" s="14">
        <v>-569</v>
      </c>
      <c r="AA5" s="14">
        <v>-3511</v>
      </c>
      <c r="AC5" s="13" t="s">
        <v>18</v>
      </c>
      <c r="AD5" s="14">
        <v>237944</v>
      </c>
      <c r="AF5" s="13" t="s">
        <v>42</v>
      </c>
      <c r="AG5" s="14">
        <v>35378</v>
      </c>
      <c r="AJ5" s="13" t="s">
        <v>11</v>
      </c>
      <c r="AK5" s="14">
        <v>2802</v>
      </c>
      <c r="AN5" s="13" t="s">
        <v>18</v>
      </c>
      <c r="AO5" s="14">
        <v>68260</v>
      </c>
      <c r="AR5" s="13" t="s">
        <v>12</v>
      </c>
      <c r="AS5" s="14">
        <v>52771</v>
      </c>
      <c r="AV5" s="13" t="s">
        <v>42</v>
      </c>
      <c r="AW5" s="16">
        <v>1.5218676074776001</v>
      </c>
      <c r="AX5" s="16"/>
      <c r="AY5" s="16">
        <v>0.89404197698036558</v>
      </c>
      <c r="AZ5" s="16">
        <v>0.92075648640200058</v>
      </c>
      <c r="BA5" s="16">
        <v>2.3954233612677376</v>
      </c>
      <c r="BB5" s="16">
        <v>1.6510828352933615</v>
      </c>
      <c r="BC5" s="16">
        <v>7.3831722674210649</v>
      </c>
      <c r="BF5" s="13" t="s">
        <v>12</v>
      </c>
      <c r="BG5" s="14">
        <v>4704</v>
      </c>
      <c r="BH5" s="17"/>
      <c r="BI5" s="17"/>
      <c r="BJ5" s="17"/>
      <c r="BK5" s="17"/>
      <c r="BL5" s="17"/>
      <c r="BM5" s="17"/>
      <c r="BR5" s="14"/>
    </row>
    <row r="6" spans="2:77" x14ac:dyDescent="0.25">
      <c r="B6" s="13" t="s">
        <v>46</v>
      </c>
      <c r="C6" s="14">
        <v>70273</v>
      </c>
      <c r="F6" s="13" t="s">
        <v>34</v>
      </c>
      <c r="G6" s="14">
        <v>252469</v>
      </c>
      <c r="J6" s="13" t="s">
        <v>14</v>
      </c>
      <c r="K6" s="14">
        <v>6803</v>
      </c>
      <c r="L6" s="14">
        <v>20972</v>
      </c>
      <c r="M6" s="14">
        <v>11700</v>
      </c>
      <c r="N6" s="14"/>
      <c r="O6" s="14"/>
      <c r="P6" s="14">
        <v>13060</v>
      </c>
      <c r="Q6" s="14">
        <v>52535</v>
      </c>
      <c r="T6" s="13" t="s">
        <v>40</v>
      </c>
      <c r="U6" s="14"/>
      <c r="V6" s="14"/>
      <c r="W6" s="14">
        <v>-629</v>
      </c>
      <c r="X6" s="14"/>
      <c r="Y6" s="14"/>
      <c r="Z6" s="14">
        <v>-147</v>
      </c>
      <c r="AA6" s="14">
        <v>-776</v>
      </c>
      <c r="AC6" s="13" t="s">
        <v>34</v>
      </c>
      <c r="AD6" s="14">
        <v>252469</v>
      </c>
      <c r="AF6" s="13" t="s">
        <v>45</v>
      </c>
      <c r="AG6" s="14">
        <v>37772</v>
      </c>
      <c r="AJ6" s="13" t="s">
        <v>42</v>
      </c>
      <c r="AK6" s="14">
        <v>1044</v>
      </c>
      <c r="AN6" s="13" t="s">
        <v>34</v>
      </c>
      <c r="AO6" s="14">
        <v>80681</v>
      </c>
      <c r="AR6" s="13" t="s">
        <v>17</v>
      </c>
      <c r="AS6" s="14">
        <v>60450</v>
      </c>
      <c r="AV6" s="13" t="s">
        <v>26</v>
      </c>
      <c r="AW6" s="16">
        <v>1.3701538998242295</v>
      </c>
      <c r="AX6" s="16">
        <v>0.951393005334914</v>
      </c>
      <c r="AY6" s="16">
        <v>1.5735757071643532</v>
      </c>
      <c r="AZ6" s="16">
        <v>0.79440772750381294</v>
      </c>
      <c r="BA6" s="16">
        <v>1.98657166031018</v>
      </c>
      <c r="BB6" s="16">
        <v>1.0603038917017953</v>
      </c>
      <c r="BC6" s="16">
        <v>7.7364058918392855</v>
      </c>
      <c r="BF6" s="13" t="s">
        <v>17</v>
      </c>
      <c r="BG6" s="14">
        <v>3867</v>
      </c>
      <c r="BH6" s="17"/>
      <c r="BI6" s="17"/>
      <c r="BJ6" s="17"/>
      <c r="BK6" s="17"/>
      <c r="BL6" s="17"/>
      <c r="BM6" s="17"/>
      <c r="BR6" s="14"/>
    </row>
    <row r="7" spans="2:77" x14ac:dyDescent="0.25">
      <c r="B7" s="13" t="s">
        <v>44</v>
      </c>
      <c r="C7" s="14">
        <v>72373</v>
      </c>
      <c r="F7" s="13" t="s">
        <v>10</v>
      </c>
      <c r="G7" s="14">
        <v>218813</v>
      </c>
      <c r="J7" s="13" t="s">
        <v>32</v>
      </c>
      <c r="K7" s="14">
        <v>2380</v>
      </c>
      <c r="L7" s="14">
        <v>6782</v>
      </c>
      <c r="M7" s="14">
        <v>20050</v>
      </c>
      <c r="N7" s="14">
        <v>16978</v>
      </c>
      <c r="O7" s="14">
        <v>9637</v>
      </c>
      <c r="P7" s="14">
        <v>647</v>
      </c>
      <c r="Q7" s="14">
        <v>56474</v>
      </c>
      <c r="T7" s="13" t="s">
        <v>26</v>
      </c>
      <c r="U7" s="14">
        <v>-653</v>
      </c>
      <c r="V7" s="14"/>
      <c r="W7" s="14">
        <v>-1071</v>
      </c>
      <c r="X7" s="14">
        <v>-230</v>
      </c>
      <c r="Y7" s="14"/>
      <c r="Z7" s="14">
        <v>-331</v>
      </c>
      <c r="AA7" s="14">
        <v>-2285</v>
      </c>
      <c r="AC7" s="13" t="s">
        <v>10</v>
      </c>
      <c r="AD7" s="14">
        <v>218813</v>
      </c>
      <c r="AF7" s="13" t="s">
        <v>25</v>
      </c>
      <c r="AG7" s="14">
        <v>39263</v>
      </c>
      <c r="AJ7" s="13" t="s">
        <v>40</v>
      </c>
      <c r="AK7" s="14">
        <v>1956</v>
      </c>
      <c r="AN7" s="13" t="s">
        <v>10</v>
      </c>
      <c r="AO7" s="14">
        <v>68927</v>
      </c>
      <c r="AR7" s="13" t="s">
        <v>27</v>
      </c>
      <c r="AS7" s="14">
        <v>99695</v>
      </c>
      <c r="AV7" s="13" t="s">
        <v>46</v>
      </c>
      <c r="AW7" s="16">
        <v>1.7809597915667208</v>
      </c>
      <c r="AX7" s="16"/>
      <c r="AY7" s="16">
        <v>3.5340186381342624</v>
      </c>
      <c r="AZ7" s="16">
        <v>4.0459664583123232</v>
      </c>
      <c r="BA7" s="16">
        <v>2.6553442384782446</v>
      </c>
      <c r="BB7" s="16"/>
      <c r="BC7" s="16">
        <v>12.016289126491552</v>
      </c>
      <c r="BF7" s="13" t="s">
        <v>27</v>
      </c>
      <c r="BG7" s="14">
        <v>5295</v>
      </c>
      <c r="BH7" s="17"/>
      <c r="BI7" s="17"/>
      <c r="BJ7" s="17"/>
      <c r="BK7" s="17"/>
      <c r="BL7" s="17"/>
      <c r="BM7" s="17"/>
      <c r="BR7" s="14"/>
    </row>
    <row r="8" spans="2:77" x14ac:dyDescent="0.25">
      <c r="B8" s="13" t="s">
        <v>14</v>
      </c>
      <c r="C8" s="14">
        <v>71967</v>
      </c>
      <c r="F8" s="13" t="s">
        <v>21</v>
      </c>
      <c r="G8" s="14">
        <v>173530</v>
      </c>
      <c r="J8" s="13" t="s">
        <v>23</v>
      </c>
      <c r="K8" s="14">
        <v>8430</v>
      </c>
      <c r="L8" s="14">
        <v>8659</v>
      </c>
      <c r="M8" s="14">
        <v>9656</v>
      </c>
      <c r="N8" s="14">
        <v>5797</v>
      </c>
      <c r="O8" s="14">
        <v>15038</v>
      </c>
      <c r="P8" s="14">
        <v>3525</v>
      </c>
      <c r="Q8" s="14">
        <v>51105</v>
      </c>
      <c r="T8" s="13" t="s">
        <v>46</v>
      </c>
      <c r="U8" s="14"/>
      <c r="V8" s="14">
        <v>-1044</v>
      </c>
      <c r="W8" s="14"/>
      <c r="X8" s="14"/>
      <c r="Y8" s="14"/>
      <c r="Z8" s="14">
        <v>-792</v>
      </c>
      <c r="AA8" s="14">
        <v>-1836</v>
      </c>
      <c r="AC8" s="13" t="s">
        <v>21</v>
      </c>
      <c r="AD8" s="14">
        <v>173530</v>
      </c>
      <c r="AF8" s="13" t="s">
        <v>28</v>
      </c>
      <c r="AG8" s="14">
        <v>43183</v>
      </c>
      <c r="AJ8" s="13" t="s">
        <v>26</v>
      </c>
      <c r="AK8" s="14">
        <v>2052</v>
      </c>
      <c r="AN8" s="13" t="s">
        <v>21</v>
      </c>
      <c r="AO8" s="14">
        <v>53941</v>
      </c>
      <c r="AR8" s="13" t="s">
        <v>20</v>
      </c>
      <c r="AS8" s="14">
        <v>69419</v>
      </c>
      <c r="AV8" s="13" t="s">
        <v>14</v>
      </c>
      <c r="AW8" s="16">
        <v>1.4731997647231823</v>
      </c>
      <c r="AX8" s="16">
        <v>2.9694879184500769</v>
      </c>
      <c r="AY8" s="16">
        <v>2.082410656009432</v>
      </c>
      <c r="AZ8" s="16"/>
      <c r="BA8" s="16"/>
      <c r="BB8" s="16">
        <v>1.2440796579094904</v>
      </c>
      <c r="BC8" s="16">
        <v>7.7691779970921822</v>
      </c>
      <c r="BF8" s="13" t="s">
        <v>20</v>
      </c>
      <c r="BG8" s="14">
        <v>5925</v>
      </c>
      <c r="BH8" s="17"/>
      <c r="BI8" s="17"/>
      <c r="BJ8" s="17"/>
      <c r="BK8" s="17"/>
      <c r="BL8" s="17"/>
      <c r="BM8" s="17"/>
      <c r="BR8" s="14"/>
    </row>
    <row r="9" spans="2:77" x14ac:dyDescent="0.25">
      <c r="B9" s="13" t="s">
        <v>32</v>
      </c>
      <c r="C9" s="14">
        <v>63721</v>
      </c>
      <c r="F9" s="13" t="s">
        <v>13</v>
      </c>
      <c r="G9" s="14">
        <v>189434</v>
      </c>
      <c r="J9" s="13" t="s">
        <v>41</v>
      </c>
      <c r="K9" s="14"/>
      <c r="L9" s="14"/>
      <c r="M9" s="14">
        <v>9735</v>
      </c>
      <c r="N9" s="14">
        <v>11727</v>
      </c>
      <c r="O9" s="14">
        <v>9662</v>
      </c>
      <c r="P9" s="14">
        <v>21928</v>
      </c>
      <c r="Q9" s="14">
        <v>53052</v>
      </c>
      <c r="T9" s="13" t="s">
        <v>14</v>
      </c>
      <c r="U9" s="14"/>
      <c r="V9" s="14">
        <v>-473</v>
      </c>
      <c r="W9" s="14"/>
      <c r="X9" s="14"/>
      <c r="Y9" s="14"/>
      <c r="Z9" s="14"/>
      <c r="AA9" s="14">
        <v>-473</v>
      </c>
      <c r="AC9" s="13" t="s">
        <v>13</v>
      </c>
      <c r="AD9" s="14">
        <v>189434</v>
      </c>
      <c r="AF9" s="13" t="s">
        <v>40</v>
      </c>
      <c r="AG9" s="14">
        <v>44744</v>
      </c>
      <c r="AJ9" s="13" t="s">
        <v>16</v>
      </c>
      <c r="AK9" s="14">
        <v>1566</v>
      </c>
      <c r="AN9" s="13" t="s">
        <v>13</v>
      </c>
      <c r="AO9" s="14">
        <v>107213</v>
      </c>
      <c r="AR9" s="13" t="s">
        <v>29</v>
      </c>
      <c r="AS9" s="14">
        <v>135191</v>
      </c>
      <c r="AV9" s="13" t="s">
        <v>32</v>
      </c>
      <c r="AW9" s="16">
        <v>0.98837209302325579</v>
      </c>
      <c r="AX9" s="16">
        <v>1.790005582059794</v>
      </c>
      <c r="AY9" s="16">
        <v>5.4297781400901348</v>
      </c>
      <c r="AZ9" s="16">
        <v>2.7476672305129326</v>
      </c>
      <c r="BA9" s="16">
        <v>1.8137361674427921</v>
      </c>
      <c r="BB9" s="16">
        <v>0.40717432347388294</v>
      </c>
      <c r="BC9" s="16">
        <v>13.176733536602795</v>
      </c>
      <c r="BF9" s="13" t="s">
        <v>29</v>
      </c>
      <c r="BG9" s="14">
        <v>3669</v>
      </c>
      <c r="BH9" s="17"/>
      <c r="BI9" s="17"/>
      <c r="BJ9" s="17"/>
      <c r="BK9" s="17"/>
      <c r="BL9" s="17"/>
      <c r="BM9" s="17"/>
      <c r="BR9" s="14"/>
    </row>
    <row r="10" spans="2:77" x14ac:dyDescent="0.25">
      <c r="B10" s="13" t="s">
        <v>33</v>
      </c>
      <c r="C10" s="14">
        <v>62111</v>
      </c>
      <c r="F10" s="13" t="s">
        <v>53</v>
      </c>
      <c r="G10" s="14">
        <v>1240869</v>
      </c>
      <c r="J10" s="13" t="s">
        <v>53</v>
      </c>
      <c r="K10" s="14">
        <v>26761</v>
      </c>
      <c r="L10" s="14">
        <v>36413</v>
      </c>
      <c r="M10" s="14">
        <v>70821</v>
      </c>
      <c r="N10" s="14">
        <v>55430</v>
      </c>
      <c r="O10" s="14">
        <v>44695</v>
      </c>
      <c r="P10" s="14">
        <v>39160</v>
      </c>
      <c r="Q10" s="14">
        <v>273280</v>
      </c>
      <c r="T10" s="13" t="s">
        <v>19</v>
      </c>
      <c r="U10" s="14"/>
      <c r="V10" s="14"/>
      <c r="W10" s="14"/>
      <c r="X10" s="14"/>
      <c r="Y10" s="14">
        <v>-1226</v>
      </c>
      <c r="Z10" s="14"/>
      <c r="AA10" s="14">
        <v>-1226</v>
      </c>
      <c r="AC10" s="13" t="s">
        <v>53</v>
      </c>
      <c r="AD10" s="14">
        <v>1240869</v>
      </c>
      <c r="AF10" s="13" t="s">
        <v>35</v>
      </c>
      <c r="AG10" s="14">
        <v>47271</v>
      </c>
      <c r="AJ10" s="13" t="s">
        <v>46</v>
      </c>
      <c r="AK10" s="14">
        <v>2142</v>
      </c>
      <c r="AN10" s="13" t="s">
        <v>53</v>
      </c>
      <c r="AO10" s="14">
        <v>439711</v>
      </c>
      <c r="AR10" s="13" t="s">
        <v>31</v>
      </c>
      <c r="AS10" s="14">
        <v>60065</v>
      </c>
      <c r="AV10" s="13" t="s">
        <v>38</v>
      </c>
      <c r="AW10" s="16">
        <v>0.88218266313001292</v>
      </c>
      <c r="AX10" s="16">
        <v>2.7757971716011482</v>
      </c>
      <c r="AY10" s="16">
        <v>3.2442613960488975</v>
      </c>
      <c r="AZ10" s="16">
        <v>2.4897515749261974</v>
      </c>
      <c r="BA10" s="16">
        <v>0.62857142857142856</v>
      </c>
      <c r="BB10" s="16">
        <v>0.74987642115669795</v>
      </c>
      <c r="BC10" s="16">
        <v>10.770440655434381</v>
      </c>
      <c r="BF10" s="13" t="s">
        <v>31</v>
      </c>
      <c r="BG10" s="14">
        <v>5007</v>
      </c>
      <c r="BH10" s="17"/>
      <c r="BI10" s="17"/>
      <c r="BJ10" s="17"/>
      <c r="BK10" s="17"/>
      <c r="BL10" s="17"/>
      <c r="BM10" s="17"/>
      <c r="BR10" s="14"/>
    </row>
    <row r="11" spans="2:77" x14ac:dyDescent="0.25">
      <c r="B11" s="13" t="s">
        <v>43</v>
      </c>
      <c r="C11" s="14">
        <v>69461</v>
      </c>
      <c r="T11" s="13" t="s">
        <v>36</v>
      </c>
      <c r="U11" s="14"/>
      <c r="V11" s="14"/>
      <c r="W11" s="14"/>
      <c r="X11" s="14">
        <v>-870</v>
      </c>
      <c r="Y11" s="14">
        <v>-967</v>
      </c>
      <c r="Z11" s="14"/>
      <c r="AA11" s="14">
        <v>-1837</v>
      </c>
      <c r="AF11" s="13" t="s">
        <v>19</v>
      </c>
      <c r="AG11" s="14">
        <v>52150</v>
      </c>
      <c r="AJ11" s="13" t="s">
        <v>44</v>
      </c>
      <c r="AK11" s="14">
        <v>3207</v>
      </c>
      <c r="AR11" s="13" t="s">
        <v>15</v>
      </c>
      <c r="AS11" s="14">
        <v>89427</v>
      </c>
      <c r="AV11" s="13" t="s">
        <v>36</v>
      </c>
      <c r="AW11" s="16">
        <v>0.8732782369146006</v>
      </c>
      <c r="AX11" s="16">
        <v>1.9278024303171826</v>
      </c>
      <c r="AY11" s="16">
        <v>1.5866656224370144</v>
      </c>
      <c r="AZ11" s="16">
        <v>1.4374529237405238</v>
      </c>
      <c r="BA11" s="16">
        <v>1.0130935578183284</v>
      </c>
      <c r="BB11" s="16">
        <v>2.0532333102699591</v>
      </c>
      <c r="BC11" s="16">
        <v>8.8915260814976094</v>
      </c>
      <c r="BF11" s="13" t="s">
        <v>15</v>
      </c>
      <c r="BG11" s="14">
        <v>4554</v>
      </c>
      <c r="BH11" s="17"/>
      <c r="BI11" s="17"/>
      <c r="BJ11" s="17"/>
      <c r="BK11" s="17"/>
      <c r="BL11" s="17"/>
      <c r="BM11" s="17"/>
      <c r="BR11" s="14"/>
    </row>
    <row r="12" spans="2:77" x14ac:dyDescent="0.25">
      <c r="B12" s="13" t="s">
        <v>23</v>
      </c>
      <c r="C12" s="14">
        <v>69160</v>
      </c>
      <c r="T12" s="13" t="s">
        <v>37</v>
      </c>
      <c r="U12" s="14"/>
      <c r="V12" s="14"/>
      <c r="W12" s="14"/>
      <c r="X12" s="14"/>
      <c r="Y12" s="14"/>
      <c r="Z12" s="14">
        <v>-3046</v>
      </c>
      <c r="AA12" s="14">
        <v>-3046</v>
      </c>
      <c r="AF12" s="13" t="s">
        <v>37</v>
      </c>
      <c r="AG12" s="14">
        <v>54712</v>
      </c>
      <c r="AJ12" s="13" t="s">
        <v>14</v>
      </c>
      <c r="AK12" s="14">
        <v>2301</v>
      </c>
      <c r="AR12" s="13" t="s">
        <v>39</v>
      </c>
      <c r="AS12" s="14">
        <v>47974</v>
      </c>
      <c r="AV12" s="13" t="s">
        <v>33</v>
      </c>
      <c r="AW12" s="16">
        <v>1.5447817601335725</v>
      </c>
      <c r="AX12" s="16">
        <v>2.9282470272891494</v>
      </c>
      <c r="AY12" s="16">
        <v>0.7448312247881379</v>
      </c>
      <c r="AZ12" s="16">
        <v>0.34767104969913082</v>
      </c>
      <c r="BA12" s="16">
        <v>0.49007936507936506</v>
      </c>
      <c r="BB12" s="16">
        <v>1.5653950906409924</v>
      </c>
      <c r="BC12" s="16">
        <v>7.6210055176303477</v>
      </c>
      <c r="BF12" s="13" t="s">
        <v>39</v>
      </c>
      <c r="BG12" s="14">
        <v>3843</v>
      </c>
      <c r="BH12" s="17"/>
      <c r="BI12" s="17"/>
      <c r="BJ12" s="17"/>
      <c r="BK12" s="17"/>
      <c r="BL12" s="17"/>
      <c r="BM12" s="17"/>
      <c r="BR12" s="14"/>
    </row>
    <row r="13" spans="2:77" x14ac:dyDescent="0.25">
      <c r="B13" s="13" t="s">
        <v>41</v>
      </c>
      <c r="C13" s="14">
        <v>68971</v>
      </c>
      <c r="T13" s="13" t="s">
        <v>41</v>
      </c>
      <c r="U13" s="14"/>
      <c r="V13" s="14"/>
      <c r="W13" s="14"/>
      <c r="X13" s="14">
        <v>-1996</v>
      </c>
      <c r="Y13" s="14"/>
      <c r="Z13" s="14">
        <v>-68</v>
      </c>
      <c r="AA13" s="14">
        <v>-2064</v>
      </c>
      <c r="AF13" s="13" t="s">
        <v>38</v>
      </c>
      <c r="AG13" s="14">
        <v>56644</v>
      </c>
      <c r="AJ13" s="13" t="s">
        <v>19</v>
      </c>
      <c r="AK13" s="14">
        <v>1752</v>
      </c>
      <c r="AR13" s="13" t="s">
        <v>9</v>
      </c>
      <c r="AS13" s="14">
        <v>101064</v>
      </c>
      <c r="AV13" s="13" t="s">
        <v>41</v>
      </c>
      <c r="AW13" s="16"/>
      <c r="AX13" s="16"/>
      <c r="AY13" s="16">
        <v>2.4803977243359752</v>
      </c>
      <c r="AZ13" s="16">
        <v>1.7915479827276939</v>
      </c>
      <c r="BA13" s="16">
        <v>1.8267519846528595</v>
      </c>
      <c r="BB13" s="16">
        <v>2.9464888381717342</v>
      </c>
      <c r="BC13" s="16">
        <v>9.0451865298882623</v>
      </c>
      <c r="BF13" s="13" t="s">
        <v>9</v>
      </c>
      <c r="BG13" s="14">
        <v>4686</v>
      </c>
      <c r="BH13" s="17"/>
      <c r="BI13" s="17"/>
      <c r="BJ13" s="17"/>
      <c r="BK13" s="17"/>
      <c r="BL13" s="17"/>
      <c r="BM13" s="17"/>
      <c r="BR13" s="14"/>
      <c r="BT13" s="18"/>
      <c r="BU13" s="14"/>
      <c r="BV13" s="14"/>
      <c r="BW13" s="14"/>
      <c r="BX13" s="14"/>
      <c r="BY13" s="14"/>
    </row>
    <row r="14" spans="2:77" x14ac:dyDescent="0.25">
      <c r="B14" s="13" t="s">
        <v>53</v>
      </c>
      <c r="C14" s="14">
        <v>680820</v>
      </c>
      <c r="T14" s="13" t="s">
        <v>25</v>
      </c>
      <c r="U14" s="14"/>
      <c r="V14" s="14"/>
      <c r="W14" s="14"/>
      <c r="X14" s="14">
        <v>-96</v>
      </c>
      <c r="Y14" s="14"/>
      <c r="Z14" s="14"/>
      <c r="AA14" s="14">
        <v>-96</v>
      </c>
      <c r="AF14" s="13" t="s">
        <v>22</v>
      </c>
      <c r="AG14" s="14">
        <v>57372</v>
      </c>
      <c r="AJ14" s="13" t="s">
        <v>32</v>
      </c>
      <c r="AK14" s="14">
        <v>2331</v>
      </c>
      <c r="AR14" s="13" t="s">
        <v>53</v>
      </c>
      <c r="AS14" s="14">
        <v>801165</v>
      </c>
      <c r="AV14" s="13" t="s">
        <v>22</v>
      </c>
      <c r="AW14" s="16">
        <v>2.107010918044169</v>
      </c>
      <c r="AX14" s="16">
        <v>2.0741081406215383</v>
      </c>
      <c r="AY14" s="16">
        <v>1.25109143657463</v>
      </c>
      <c r="AZ14" s="16">
        <v>1.4922598637083615</v>
      </c>
      <c r="BA14" s="16">
        <v>0.70332080200501257</v>
      </c>
      <c r="BB14" s="16"/>
      <c r="BC14" s="16">
        <v>7.627791160953711</v>
      </c>
      <c r="BF14" s="13" t="s">
        <v>53</v>
      </c>
      <c r="BG14" s="14">
        <v>45660</v>
      </c>
      <c r="BH14" s="17"/>
      <c r="BI14" s="17"/>
      <c r="BJ14" s="17"/>
      <c r="BK14" s="17"/>
      <c r="BL14" s="17"/>
      <c r="BM14" s="17"/>
      <c r="BR14" s="14"/>
      <c r="BT14" s="18"/>
      <c r="BU14" s="14"/>
      <c r="BV14" s="14"/>
      <c r="BW14" s="14"/>
      <c r="BX14" s="14"/>
      <c r="BY14" s="14"/>
    </row>
    <row r="15" spans="2:77" x14ac:dyDescent="0.25">
      <c r="T15" s="13" t="s">
        <v>53</v>
      </c>
      <c r="U15" s="14">
        <v>-1210</v>
      </c>
      <c r="V15" s="14">
        <v>-1517</v>
      </c>
      <c r="W15" s="14">
        <v>-4085</v>
      </c>
      <c r="X15" s="14">
        <v>-3192</v>
      </c>
      <c r="Y15" s="14">
        <v>-2193</v>
      </c>
      <c r="Z15" s="14">
        <v>-4953</v>
      </c>
      <c r="AA15" s="14">
        <v>-17150</v>
      </c>
      <c r="AF15" s="13" t="s">
        <v>36</v>
      </c>
      <c r="AG15" s="14">
        <v>58009</v>
      </c>
      <c r="AJ15" s="13" t="s">
        <v>38</v>
      </c>
      <c r="AK15" s="14">
        <v>1812</v>
      </c>
      <c r="AV15" s="13" t="s">
        <v>53</v>
      </c>
      <c r="AW15" s="16">
        <v>12.541806734837344</v>
      </c>
      <c r="AX15" s="16">
        <v>15.416841275673804</v>
      </c>
      <c r="AY15" s="16">
        <v>22.821072522563206</v>
      </c>
      <c r="AZ15" s="16">
        <v>16.067481297532979</v>
      </c>
      <c r="BA15" s="16">
        <v>13.51289256562595</v>
      </c>
      <c r="BB15" s="16">
        <v>11.677634368617912</v>
      </c>
      <c r="BC15" s="16">
        <v>92.037728764851209</v>
      </c>
      <c r="BF15" s="13"/>
      <c r="BG15" s="17"/>
      <c r="BH15" s="17"/>
      <c r="BI15" s="17"/>
      <c r="BJ15" s="17"/>
      <c r="BK15" s="17"/>
      <c r="BL15" s="17"/>
      <c r="BM15" s="17"/>
      <c r="BR15" s="14"/>
      <c r="BT15" s="18"/>
      <c r="BU15" s="14"/>
      <c r="BV15" s="14"/>
      <c r="BW15" s="14"/>
      <c r="BX15" s="14"/>
      <c r="BY15" s="14"/>
    </row>
    <row r="16" spans="2:77" x14ac:dyDescent="0.25">
      <c r="AF16" s="13" t="s">
        <v>33</v>
      </c>
      <c r="AG16" s="14">
        <v>62111</v>
      </c>
      <c r="AJ16" s="13" t="s">
        <v>36</v>
      </c>
      <c r="AK16" s="14">
        <v>2976</v>
      </c>
      <c r="BF16" s="13"/>
      <c r="BG16" s="17"/>
      <c r="BH16" s="17"/>
      <c r="BI16" s="17"/>
      <c r="BJ16" s="17"/>
      <c r="BK16" s="17"/>
      <c r="BL16" s="17"/>
      <c r="BM16" s="17"/>
      <c r="BP16" s="13"/>
      <c r="BQ16" s="14"/>
      <c r="BR16" s="14"/>
      <c r="BT16" s="18"/>
      <c r="BU16" s="14"/>
      <c r="BV16" s="14"/>
      <c r="BW16" s="14"/>
      <c r="BX16" s="14"/>
      <c r="BY16" s="14"/>
    </row>
    <row r="17" spans="3:77" x14ac:dyDescent="0.25">
      <c r="AA17" s="25">
        <f>GETPIVOTDATA("Loss",$T$3)</f>
        <v>-17150</v>
      </c>
      <c r="AF17" s="13" t="s">
        <v>32</v>
      </c>
      <c r="AG17" s="14">
        <v>63721</v>
      </c>
      <c r="AJ17" s="13" t="s">
        <v>35</v>
      </c>
      <c r="AK17" s="14">
        <v>1881</v>
      </c>
      <c r="BF17" s="13"/>
      <c r="BG17" s="17"/>
      <c r="BH17" s="17"/>
      <c r="BI17" s="17"/>
      <c r="BJ17" s="17"/>
      <c r="BK17" s="17"/>
      <c r="BL17" s="17"/>
      <c r="BM17" s="17"/>
      <c r="BP17" s="13"/>
      <c r="BQ17" s="14"/>
      <c r="BR17" s="14"/>
      <c r="BT17" s="18"/>
      <c r="BU17" s="14"/>
      <c r="BV17" s="14"/>
      <c r="BW17" s="14"/>
      <c r="BX17" s="14"/>
      <c r="BY17" s="14"/>
    </row>
    <row r="18" spans="3:77" x14ac:dyDescent="0.25">
      <c r="Q18" s="24">
        <f>GETPIVOTDATA("Profit",$J$3)</f>
        <v>273280</v>
      </c>
      <c r="AF18" s="13" t="s">
        <v>26</v>
      </c>
      <c r="AG18" s="14">
        <v>66283</v>
      </c>
      <c r="AJ18" s="13" t="s">
        <v>33</v>
      </c>
      <c r="AK18" s="14">
        <v>2154</v>
      </c>
      <c r="BF18" s="13"/>
      <c r="BG18" s="17"/>
      <c r="BH18" s="17"/>
      <c r="BI18" s="17"/>
      <c r="BJ18" s="17"/>
      <c r="BK18" s="17"/>
      <c r="BL18" s="17"/>
      <c r="BM18" s="17"/>
      <c r="BP18" s="13"/>
      <c r="BQ18" s="14"/>
      <c r="BR18" s="14"/>
      <c r="BT18" s="18"/>
      <c r="BU18" s="14"/>
      <c r="BV18" s="14"/>
      <c r="BW18" s="14"/>
      <c r="BX18" s="14"/>
      <c r="BY18" s="14"/>
    </row>
    <row r="19" spans="3:77" x14ac:dyDescent="0.25">
      <c r="AF19" s="13" t="s">
        <v>11</v>
      </c>
      <c r="AG19" s="14">
        <v>66500</v>
      </c>
      <c r="AJ19" s="13" t="s">
        <v>37</v>
      </c>
      <c r="AK19" s="14">
        <v>2196</v>
      </c>
      <c r="BF19" s="13"/>
      <c r="BG19" s="17"/>
      <c r="BH19" s="17"/>
      <c r="BI19" s="17"/>
      <c r="BJ19" s="17"/>
      <c r="BK19" s="17"/>
      <c r="BL19" s="17"/>
      <c r="BM19" s="17"/>
      <c r="BP19" s="13"/>
      <c r="BQ19" s="14"/>
      <c r="BR19" s="14"/>
      <c r="BT19" s="18"/>
      <c r="BU19" s="14"/>
      <c r="BV19" s="14"/>
      <c r="BW19" s="14"/>
      <c r="BX19" s="14"/>
      <c r="BY19" s="14"/>
    </row>
    <row r="20" spans="3:77" x14ac:dyDescent="0.25">
      <c r="AF20" s="13" t="s">
        <v>41</v>
      </c>
      <c r="AG20" s="14">
        <v>68971</v>
      </c>
      <c r="AJ20" s="13" t="s">
        <v>43</v>
      </c>
      <c r="AK20" s="14">
        <v>2982</v>
      </c>
      <c r="BF20" s="13"/>
      <c r="BG20" s="17"/>
      <c r="BH20" s="17"/>
      <c r="BI20" s="17"/>
      <c r="BJ20" s="17"/>
      <c r="BK20" s="17"/>
      <c r="BL20" s="17"/>
      <c r="BM20" s="17"/>
      <c r="BP20" s="13"/>
      <c r="BQ20" s="14"/>
      <c r="BR20" s="14"/>
      <c r="BT20" s="18"/>
      <c r="BU20" s="14"/>
      <c r="BV20" s="14"/>
      <c r="BW20" s="14"/>
      <c r="BX20" s="14"/>
      <c r="BY20" s="14"/>
    </row>
    <row r="21" spans="3:77" x14ac:dyDescent="0.25">
      <c r="AF21" s="13" t="s">
        <v>23</v>
      </c>
      <c r="AG21" s="14">
        <v>69160</v>
      </c>
      <c r="AJ21" s="13" t="s">
        <v>23</v>
      </c>
      <c r="AK21" s="14">
        <v>1854</v>
      </c>
      <c r="BF21" s="13"/>
      <c r="BG21" s="17"/>
      <c r="BH21" s="17"/>
      <c r="BI21" s="17"/>
      <c r="BJ21" s="17"/>
      <c r="BK21" s="17"/>
      <c r="BL21" s="17"/>
      <c r="BM21" s="17"/>
      <c r="BP21" s="13"/>
      <c r="BQ21" s="14"/>
      <c r="BR21" s="14"/>
      <c r="BT21" s="18"/>
      <c r="BU21" s="14"/>
      <c r="BV21" s="14"/>
      <c r="BW21" s="14"/>
      <c r="BX21" s="14"/>
      <c r="BY21" s="14"/>
    </row>
    <row r="22" spans="3:77" x14ac:dyDescent="0.25">
      <c r="AF22" s="13" t="s">
        <v>43</v>
      </c>
      <c r="AG22" s="14">
        <v>69461</v>
      </c>
      <c r="AJ22" s="13" t="s">
        <v>41</v>
      </c>
      <c r="AK22" s="14">
        <v>1533</v>
      </c>
      <c r="BF22" s="13"/>
      <c r="BG22" s="17"/>
      <c r="BH22" s="17"/>
      <c r="BI22" s="17"/>
      <c r="BJ22" s="17"/>
      <c r="BK22" s="17"/>
      <c r="BL22" s="17"/>
      <c r="BM22" s="17"/>
      <c r="BP22" s="13"/>
      <c r="BQ22" s="14"/>
      <c r="BR22" s="14"/>
      <c r="BT22" s="18"/>
      <c r="BU22" s="14"/>
      <c r="BV22" s="14"/>
      <c r="BW22" s="14"/>
      <c r="BX22" s="14"/>
      <c r="BY22" s="14"/>
    </row>
    <row r="23" spans="3:77" x14ac:dyDescent="0.25">
      <c r="AF23" s="13" t="s">
        <v>46</v>
      </c>
      <c r="AG23" s="14">
        <v>70273</v>
      </c>
      <c r="AJ23" s="13" t="s">
        <v>25</v>
      </c>
      <c r="AK23" s="14">
        <v>1683</v>
      </c>
      <c r="BF23" s="13"/>
      <c r="BG23" s="17"/>
      <c r="BH23" s="17"/>
      <c r="BI23" s="17"/>
      <c r="BJ23" s="17"/>
      <c r="BK23" s="17"/>
      <c r="BL23" s="17"/>
      <c r="BM23" s="17"/>
      <c r="BP23" s="13"/>
      <c r="BQ23" s="14"/>
      <c r="BR23" s="14"/>
      <c r="BT23" s="18"/>
      <c r="BU23" s="14"/>
      <c r="BV23" s="14"/>
      <c r="BW23" s="14"/>
      <c r="BX23" s="14"/>
      <c r="BY23" s="14"/>
    </row>
    <row r="24" spans="3:77" x14ac:dyDescent="0.25">
      <c r="AF24" s="13" t="s">
        <v>14</v>
      </c>
      <c r="AG24" s="14">
        <v>71967</v>
      </c>
      <c r="AJ24" s="13" t="s">
        <v>45</v>
      </c>
      <c r="AK24" s="14">
        <v>1308</v>
      </c>
      <c r="BF24" s="13"/>
      <c r="BG24" s="17"/>
      <c r="BH24" s="17"/>
      <c r="BI24" s="17"/>
      <c r="BJ24" s="17"/>
      <c r="BK24" s="17"/>
      <c r="BL24" s="17"/>
      <c r="BM24" s="17"/>
      <c r="BP24" s="13"/>
      <c r="BQ24" s="14"/>
      <c r="BR24" s="14"/>
      <c r="BT24" s="18"/>
      <c r="BU24" s="14"/>
      <c r="BV24" s="14"/>
      <c r="BW24" s="14"/>
      <c r="BX24" s="14"/>
      <c r="BY24" s="14"/>
    </row>
    <row r="25" spans="3:77" x14ac:dyDescent="0.25">
      <c r="AF25" s="13" t="s">
        <v>44</v>
      </c>
      <c r="AG25" s="14">
        <v>72373</v>
      </c>
      <c r="AJ25" s="13" t="s">
        <v>22</v>
      </c>
      <c r="AK25" s="14">
        <v>2106</v>
      </c>
      <c r="BT25" s="18"/>
    </row>
    <row r="26" spans="3:77" x14ac:dyDescent="0.25">
      <c r="AF26" s="13" t="s">
        <v>53</v>
      </c>
      <c r="AG26" s="14">
        <v>1240869</v>
      </c>
      <c r="AJ26" s="13" t="s">
        <v>53</v>
      </c>
      <c r="AK26" s="14">
        <v>45660</v>
      </c>
      <c r="BT26" s="18"/>
    </row>
    <row r="27" spans="3:77" x14ac:dyDescent="0.25">
      <c r="BT27" s="18"/>
    </row>
    <row r="28" spans="3:77" x14ac:dyDescent="0.25">
      <c r="C28" s="15"/>
      <c r="BT28" s="18"/>
    </row>
    <row r="29" spans="3:77" x14ac:dyDescent="0.25">
      <c r="BT29" s="18"/>
    </row>
    <row r="30" spans="3:77" x14ac:dyDescent="0.25">
      <c r="C30" s="24">
        <f>GETPIVOTDATA("Amount",$B$3)</f>
        <v>680820</v>
      </c>
      <c r="BT30" s="18"/>
    </row>
    <row r="31" spans="3:77" x14ac:dyDescent="0.25">
      <c r="BT31" s="18"/>
    </row>
    <row r="32" spans="3:77" x14ac:dyDescent="0.25">
      <c r="C32" s="25">
        <f>AVERAGE(C4:C25)</f>
        <v>123785.45454545454</v>
      </c>
      <c r="BT32" s="18"/>
    </row>
    <row r="33" spans="72:72" x14ac:dyDescent="0.25">
      <c r="BT33" s="18"/>
    </row>
    <row r="34" spans="72:72" x14ac:dyDescent="0.25">
      <c r="BT34" s="18"/>
    </row>
    <row r="35" spans="72:72" x14ac:dyDescent="0.25">
      <c r="BT35" s="18"/>
    </row>
    <row r="36" spans="72:72" x14ac:dyDescent="0.25">
      <c r="BT36" s="18"/>
    </row>
    <row r="37" spans="72:72" x14ac:dyDescent="0.25">
      <c r="BT37" s="18"/>
    </row>
    <row r="38" spans="72:72" x14ac:dyDescent="0.25">
      <c r="BT38" s="18"/>
    </row>
    <row r="39" spans="72:72" x14ac:dyDescent="0.25">
      <c r="BT39" s="18"/>
    </row>
    <row r="40" spans="72:72" x14ac:dyDescent="0.25">
      <c r="BT40" s="18"/>
    </row>
    <row r="41" spans="72:72" x14ac:dyDescent="0.25">
      <c r="BT41" s="18"/>
    </row>
    <row r="42" spans="72:72" x14ac:dyDescent="0.25">
      <c r="BT42" s="18"/>
    </row>
    <row r="43" spans="72:72" x14ac:dyDescent="0.25">
      <c r="BT43" s="18"/>
    </row>
    <row r="44" spans="72:72" x14ac:dyDescent="0.25">
      <c r="BT44" s="18"/>
    </row>
    <row r="45" spans="72:72" x14ac:dyDescent="0.25">
      <c r="BT45" s="18"/>
    </row>
    <row r="46" spans="72:72" x14ac:dyDescent="0.25">
      <c r="BT46" s="18"/>
    </row>
    <row r="47" spans="72:72" x14ac:dyDescent="0.25">
      <c r="BT47" s="18"/>
    </row>
    <row r="48" spans="72:72" x14ac:dyDescent="0.25">
      <c r="BT48" s="18"/>
    </row>
    <row r="49" spans="72:72" x14ac:dyDescent="0.25">
      <c r="BT49" s="18"/>
    </row>
    <row r="50" spans="72:72" x14ac:dyDescent="0.25">
      <c r="BT50" s="18"/>
    </row>
    <row r="51" spans="72:72" x14ac:dyDescent="0.25">
      <c r="BT51" s="18"/>
    </row>
    <row r="52" spans="72:72" x14ac:dyDescent="0.25">
      <c r="BT52" s="18"/>
    </row>
    <row r="53" spans="72:72" x14ac:dyDescent="0.25">
      <c r="BT53" s="18"/>
    </row>
    <row r="54" spans="72:72" x14ac:dyDescent="0.25">
      <c r="BT54" s="18"/>
    </row>
    <row r="55" spans="72:72" x14ac:dyDescent="0.25">
      <c r="BT55" s="18"/>
    </row>
    <row r="56" spans="72:72" x14ac:dyDescent="0.25">
      <c r="BT56" s="18"/>
    </row>
    <row r="57" spans="72:72" x14ac:dyDescent="0.25">
      <c r="BT57" s="18"/>
    </row>
    <row r="58" spans="72:72" x14ac:dyDescent="0.25">
      <c r="BT58" s="18"/>
    </row>
    <row r="59" spans="72:72" x14ac:dyDescent="0.25">
      <c r="BT59" s="18"/>
    </row>
    <row r="60" spans="72:72" x14ac:dyDescent="0.25">
      <c r="BT60" s="18"/>
    </row>
    <row r="61" spans="72:72" x14ac:dyDescent="0.25">
      <c r="BT61" s="18"/>
    </row>
    <row r="62" spans="72:72" x14ac:dyDescent="0.25">
      <c r="BT62" s="18"/>
    </row>
    <row r="63" spans="72:72" x14ac:dyDescent="0.25">
      <c r="BT63" s="18"/>
    </row>
    <row r="64" spans="72:72" x14ac:dyDescent="0.25">
      <c r="BT64" s="18"/>
    </row>
    <row r="65" spans="72:72" x14ac:dyDescent="0.25">
      <c r="BT65" s="18"/>
    </row>
    <row r="66" spans="72:72" x14ac:dyDescent="0.25">
      <c r="BT66" s="18"/>
    </row>
    <row r="67" spans="72:72" x14ac:dyDescent="0.25">
      <c r="BT67" s="18"/>
    </row>
    <row r="68" spans="72:72" x14ac:dyDescent="0.25">
      <c r="BT68" s="18"/>
    </row>
    <row r="69" spans="72:72" x14ac:dyDescent="0.25">
      <c r="BT69" s="18"/>
    </row>
    <row r="70" spans="72:72" x14ac:dyDescent="0.25">
      <c r="BT70" s="18"/>
    </row>
    <row r="71" spans="72:72" x14ac:dyDescent="0.25">
      <c r="BT71" s="18"/>
    </row>
    <row r="72" spans="72:72" x14ac:dyDescent="0.25">
      <c r="BT72" s="18"/>
    </row>
    <row r="73" spans="72:72" x14ac:dyDescent="0.25">
      <c r="BT73" s="18"/>
    </row>
    <row r="74" spans="72:72" x14ac:dyDescent="0.25">
      <c r="BT74" s="18"/>
    </row>
    <row r="75" spans="72:72" x14ac:dyDescent="0.25">
      <c r="BT75" s="18"/>
    </row>
    <row r="76" spans="72:72" x14ac:dyDescent="0.25">
      <c r="BT76" s="18"/>
    </row>
    <row r="77" spans="72:72" x14ac:dyDescent="0.25">
      <c r="BT77" s="18"/>
    </row>
    <row r="78" spans="72:72" x14ac:dyDescent="0.25">
      <c r="BT78" s="18"/>
    </row>
    <row r="79" spans="72:72" x14ac:dyDescent="0.25">
      <c r="BT79" s="18"/>
    </row>
    <row r="80" spans="72:72" x14ac:dyDescent="0.25">
      <c r="BT80" s="18"/>
    </row>
    <row r="81" spans="72:72" x14ac:dyDescent="0.25">
      <c r="BT81" s="18"/>
    </row>
    <row r="82" spans="72:72" x14ac:dyDescent="0.25">
      <c r="BT82" s="18"/>
    </row>
    <row r="83" spans="72:72" x14ac:dyDescent="0.25">
      <c r="BT83" s="18"/>
    </row>
    <row r="84" spans="72:72" x14ac:dyDescent="0.25">
      <c r="BT84" s="18"/>
    </row>
    <row r="85" spans="72:72" x14ac:dyDescent="0.25">
      <c r="BT85" s="18"/>
    </row>
    <row r="86" spans="72:72" x14ac:dyDescent="0.25">
      <c r="BT86" s="18"/>
    </row>
    <row r="87" spans="72:72" x14ac:dyDescent="0.25">
      <c r="BT87" s="18"/>
    </row>
    <row r="88" spans="72:72" x14ac:dyDescent="0.25">
      <c r="BT88" s="18"/>
    </row>
    <row r="89" spans="72:72" x14ac:dyDescent="0.25">
      <c r="BT89" s="18"/>
    </row>
    <row r="90" spans="72:72" x14ac:dyDescent="0.25">
      <c r="BT90" s="18"/>
    </row>
    <row r="91" spans="72:72" x14ac:dyDescent="0.25">
      <c r="BT91" s="18"/>
    </row>
    <row r="92" spans="72:72" x14ac:dyDescent="0.25">
      <c r="BT92" s="18"/>
    </row>
    <row r="93" spans="72:72" x14ac:dyDescent="0.25">
      <c r="BT93" s="18"/>
    </row>
    <row r="94" spans="72:72" x14ac:dyDescent="0.25">
      <c r="BT94" s="18"/>
    </row>
    <row r="95" spans="72:72" x14ac:dyDescent="0.25">
      <c r="BT95" s="18"/>
    </row>
    <row r="96" spans="72:72" x14ac:dyDescent="0.25">
      <c r="BT96" s="18"/>
    </row>
    <row r="97" spans="72:72" x14ac:dyDescent="0.25">
      <c r="BT97" s="18"/>
    </row>
    <row r="98" spans="72:72" x14ac:dyDescent="0.25">
      <c r="BT98" s="18"/>
    </row>
    <row r="99" spans="72:72" x14ac:dyDescent="0.25">
      <c r="BT99" s="18"/>
    </row>
    <row r="100" spans="72:72" x14ac:dyDescent="0.25">
      <c r="BT100" s="18"/>
    </row>
    <row r="101" spans="72:72" x14ac:dyDescent="0.25">
      <c r="BT101" s="18"/>
    </row>
    <row r="102" spans="72:72" x14ac:dyDescent="0.25">
      <c r="BT102" s="18"/>
    </row>
    <row r="103" spans="72:72" x14ac:dyDescent="0.25">
      <c r="BT103" s="18"/>
    </row>
    <row r="104" spans="72:72" x14ac:dyDescent="0.25">
      <c r="BT104" s="18"/>
    </row>
    <row r="105" spans="72:72" x14ac:dyDescent="0.25">
      <c r="BT105" s="18"/>
    </row>
    <row r="106" spans="72:72" x14ac:dyDescent="0.25">
      <c r="BT106" s="18"/>
    </row>
    <row r="107" spans="72:72" x14ac:dyDescent="0.25">
      <c r="BT107" s="18"/>
    </row>
    <row r="108" spans="72:72" x14ac:dyDescent="0.25">
      <c r="BT108" s="18"/>
    </row>
    <row r="109" spans="72:72" x14ac:dyDescent="0.25">
      <c r="BT109" s="18"/>
    </row>
    <row r="110" spans="72:72" x14ac:dyDescent="0.25">
      <c r="BT110" s="18"/>
    </row>
    <row r="111" spans="72:72" x14ac:dyDescent="0.25">
      <c r="BT111" s="18"/>
    </row>
    <row r="112" spans="72:72" x14ac:dyDescent="0.25">
      <c r="BT112" s="18"/>
    </row>
    <row r="113" spans="72:72" x14ac:dyDescent="0.25">
      <c r="BT113" s="18"/>
    </row>
    <row r="114" spans="72:72" x14ac:dyDescent="0.25">
      <c r="BT114" s="18"/>
    </row>
    <row r="115" spans="72:72" x14ac:dyDescent="0.25">
      <c r="BT115" s="18"/>
    </row>
    <row r="116" spans="72:72" x14ac:dyDescent="0.25">
      <c r="BT116" s="18"/>
    </row>
    <row r="117" spans="72:72" x14ac:dyDescent="0.25">
      <c r="BT117" s="18"/>
    </row>
    <row r="118" spans="72:72" x14ac:dyDescent="0.25">
      <c r="BT118" s="18"/>
    </row>
    <row r="119" spans="72:72" x14ac:dyDescent="0.25">
      <c r="BT119" s="18"/>
    </row>
    <row r="120" spans="72:72" x14ac:dyDescent="0.25">
      <c r="BT120" s="18"/>
    </row>
    <row r="121" spans="72:72" x14ac:dyDescent="0.25">
      <c r="BT121" s="18"/>
    </row>
    <row r="122" spans="72:72" x14ac:dyDescent="0.25">
      <c r="BT122" s="18"/>
    </row>
    <row r="123" spans="72:72" x14ac:dyDescent="0.25">
      <c r="BT123" s="18"/>
    </row>
    <row r="124" spans="72:72" x14ac:dyDescent="0.25">
      <c r="BT124" s="18"/>
    </row>
    <row r="125" spans="72:72" x14ac:dyDescent="0.25">
      <c r="BT125" s="18"/>
    </row>
    <row r="126" spans="72:72" x14ac:dyDescent="0.25">
      <c r="BT126" s="18"/>
    </row>
    <row r="127" spans="72:72" x14ac:dyDescent="0.25">
      <c r="BT127" s="18"/>
    </row>
    <row r="128" spans="72:72" x14ac:dyDescent="0.25">
      <c r="BT128" s="18"/>
    </row>
    <row r="129" spans="72:72" x14ac:dyDescent="0.25">
      <c r="BT129" s="18"/>
    </row>
    <row r="130" spans="72:72" x14ac:dyDescent="0.25">
      <c r="BT130" s="18"/>
    </row>
    <row r="131" spans="72:72" x14ac:dyDescent="0.25">
      <c r="BT131" s="18"/>
    </row>
    <row r="132" spans="72:72" x14ac:dyDescent="0.25">
      <c r="BT132" s="18"/>
    </row>
    <row r="133" spans="72:72" x14ac:dyDescent="0.25">
      <c r="BT133" s="18"/>
    </row>
    <row r="134" spans="72:72" x14ac:dyDescent="0.25">
      <c r="BT134" s="18"/>
    </row>
    <row r="135" spans="72:72" x14ac:dyDescent="0.25">
      <c r="BT135" s="18"/>
    </row>
    <row r="136" spans="72:72" x14ac:dyDescent="0.25">
      <c r="BT136" s="18"/>
    </row>
    <row r="137" spans="72:72" x14ac:dyDescent="0.25">
      <c r="BT137" s="18"/>
    </row>
    <row r="138" spans="72:72" x14ac:dyDescent="0.25">
      <c r="BT138" s="18"/>
    </row>
    <row r="139" spans="72:72" x14ac:dyDescent="0.25">
      <c r="BT139" s="18"/>
    </row>
    <row r="140" spans="72:72" x14ac:dyDescent="0.25">
      <c r="BT140" s="18"/>
    </row>
    <row r="141" spans="72:72" x14ac:dyDescent="0.25">
      <c r="BT141" s="18"/>
    </row>
    <row r="142" spans="72:72" x14ac:dyDescent="0.25">
      <c r="BT142" s="18"/>
    </row>
    <row r="143" spans="72:72" x14ac:dyDescent="0.25">
      <c r="BT143" s="18"/>
    </row>
    <row r="144" spans="72:72" x14ac:dyDescent="0.25">
      <c r="BT144" s="18"/>
    </row>
    <row r="145" spans="72:72" x14ac:dyDescent="0.25">
      <c r="BT145" s="18"/>
    </row>
    <row r="146" spans="72:72" x14ac:dyDescent="0.25">
      <c r="BT146" s="18"/>
    </row>
    <row r="147" spans="72:72" x14ac:dyDescent="0.25">
      <c r="BT147" s="18"/>
    </row>
    <row r="148" spans="72:72" x14ac:dyDescent="0.25">
      <c r="BT148" s="18"/>
    </row>
    <row r="149" spans="72:72" x14ac:dyDescent="0.25">
      <c r="BT149" s="18"/>
    </row>
    <row r="150" spans="72:72" x14ac:dyDescent="0.25">
      <c r="BT150" s="18"/>
    </row>
    <row r="151" spans="72:72" x14ac:dyDescent="0.25">
      <c r="BT151" s="18"/>
    </row>
    <row r="152" spans="72:72" x14ac:dyDescent="0.25">
      <c r="BT152" s="18"/>
    </row>
    <row r="153" spans="72:72" x14ac:dyDescent="0.25">
      <c r="BT153" s="18"/>
    </row>
    <row r="154" spans="72:72" x14ac:dyDescent="0.25">
      <c r="BT154" s="18"/>
    </row>
    <row r="155" spans="72:72" x14ac:dyDescent="0.25">
      <c r="BT155" s="18"/>
    </row>
    <row r="156" spans="72:72" x14ac:dyDescent="0.25">
      <c r="BT156" s="18"/>
    </row>
    <row r="157" spans="72:72" x14ac:dyDescent="0.25">
      <c r="BT157" s="18"/>
    </row>
    <row r="158" spans="72:72" x14ac:dyDescent="0.25">
      <c r="BT158" s="18"/>
    </row>
    <row r="159" spans="72:72" x14ac:dyDescent="0.25">
      <c r="BT159" s="18"/>
    </row>
    <row r="160" spans="72:72" x14ac:dyDescent="0.25">
      <c r="BT160" s="18"/>
    </row>
    <row r="161" spans="72:72" x14ac:dyDescent="0.25">
      <c r="BT161" s="18"/>
    </row>
    <row r="162" spans="72:72" x14ac:dyDescent="0.25">
      <c r="BT162" s="18"/>
    </row>
    <row r="163" spans="72:72" x14ac:dyDescent="0.25">
      <c r="BT163" s="18"/>
    </row>
    <row r="164" spans="72:72" x14ac:dyDescent="0.25">
      <c r="BT164" s="18"/>
    </row>
    <row r="165" spans="72:72" x14ac:dyDescent="0.25">
      <c r="BT165" s="18"/>
    </row>
    <row r="166" spans="72:72" x14ac:dyDescent="0.25">
      <c r="BT166" s="18"/>
    </row>
    <row r="167" spans="72:72" x14ac:dyDescent="0.25">
      <c r="BT167" s="18"/>
    </row>
    <row r="168" spans="72:72" x14ac:dyDescent="0.25">
      <c r="BT168" s="18"/>
    </row>
    <row r="169" spans="72:72" x14ac:dyDescent="0.25">
      <c r="BT169" s="18"/>
    </row>
    <row r="170" spans="72:72" x14ac:dyDescent="0.25">
      <c r="BT170" s="18"/>
    </row>
    <row r="171" spans="72:72" x14ac:dyDescent="0.25">
      <c r="BT171" s="18"/>
    </row>
    <row r="172" spans="72:72" x14ac:dyDescent="0.25">
      <c r="BT172" s="18"/>
    </row>
    <row r="173" spans="72:72" x14ac:dyDescent="0.25">
      <c r="BT173" s="18"/>
    </row>
    <row r="174" spans="72:72" x14ac:dyDescent="0.25">
      <c r="BT174" s="18"/>
    </row>
    <row r="175" spans="72:72" x14ac:dyDescent="0.25">
      <c r="BT175" s="18"/>
    </row>
    <row r="176" spans="72:72" x14ac:dyDescent="0.25">
      <c r="BT176" s="18"/>
    </row>
    <row r="177" spans="72:72" x14ac:dyDescent="0.25">
      <c r="BT177" s="18"/>
    </row>
    <row r="178" spans="72:72" x14ac:dyDescent="0.25">
      <c r="BT178" s="18"/>
    </row>
    <row r="179" spans="72:72" x14ac:dyDescent="0.25">
      <c r="BT179" s="18"/>
    </row>
    <row r="180" spans="72:72" x14ac:dyDescent="0.25">
      <c r="BT180" s="18"/>
    </row>
    <row r="181" spans="72:72" x14ac:dyDescent="0.25">
      <c r="BT181" s="18"/>
    </row>
    <row r="182" spans="72:72" x14ac:dyDescent="0.25">
      <c r="BT182" s="18"/>
    </row>
    <row r="183" spans="72:72" x14ac:dyDescent="0.25">
      <c r="BT183" s="18"/>
    </row>
    <row r="184" spans="72:72" x14ac:dyDescent="0.25">
      <c r="BT184" s="18"/>
    </row>
    <row r="185" spans="72:72" x14ac:dyDescent="0.25">
      <c r="BT185" s="18"/>
    </row>
    <row r="186" spans="72:72" x14ac:dyDescent="0.25">
      <c r="BT186" s="18"/>
    </row>
    <row r="187" spans="72:72" x14ac:dyDescent="0.25">
      <c r="BT187" s="18"/>
    </row>
    <row r="188" spans="72:72" x14ac:dyDescent="0.25">
      <c r="BT188" s="18"/>
    </row>
    <row r="189" spans="72:72" x14ac:dyDescent="0.25">
      <c r="BT189" s="18"/>
    </row>
    <row r="190" spans="72:72" x14ac:dyDescent="0.25">
      <c r="BT190" s="18"/>
    </row>
    <row r="191" spans="72:72" x14ac:dyDescent="0.25">
      <c r="BT191" s="18"/>
    </row>
    <row r="192" spans="72:72" x14ac:dyDescent="0.25">
      <c r="BT192" s="18"/>
    </row>
    <row r="193" spans="72:72" x14ac:dyDescent="0.25">
      <c r="BT193" s="18"/>
    </row>
    <row r="194" spans="72:72" x14ac:dyDescent="0.25">
      <c r="BT194" s="18"/>
    </row>
    <row r="195" spans="72:72" x14ac:dyDescent="0.25">
      <c r="BT195" s="18"/>
    </row>
    <row r="196" spans="72:72" x14ac:dyDescent="0.25">
      <c r="BT196" s="18"/>
    </row>
    <row r="197" spans="72:72" x14ac:dyDescent="0.25">
      <c r="BT197" s="18"/>
    </row>
    <row r="198" spans="72:72" x14ac:dyDescent="0.25">
      <c r="BT198" s="18"/>
    </row>
    <row r="199" spans="72:72" x14ac:dyDescent="0.25">
      <c r="BT199" s="18"/>
    </row>
    <row r="200" spans="72:72" x14ac:dyDescent="0.25">
      <c r="BT200" s="18"/>
    </row>
    <row r="201" spans="72:72" x14ac:dyDescent="0.25">
      <c r="BT201" s="18"/>
    </row>
    <row r="202" spans="72:72" x14ac:dyDescent="0.25">
      <c r="BT202" s="18"/>
    </row>
    <row r="203" spans="72:72" x14ac:dyDescent="0.25">
      <c r="BT203" s="18"/>
    </row>
    <row r="204" spans="72:72" x14ac:dyDescent="0.25">
      <c r="BT204" s="18"/>
    </row>
    <row r="205" spans="72:72" x14ac:dyDescent="0.25">
      <c r="BT205" s="18"/>
    </row>
    <row r="206" spans="72:72" x14ac:dyDescent="0.25">
      <c r="BT206" s="18"/>
    </row>
    <row r="207" spans="72:72" x14ac:dyDescent="0.25">
      <c r="BT207" s="18"/>
    </row>
    <row r="208" spans="72:72" x14ac:dyDescent="0.25">
      <c r="BT208" s="18"/>
    </row>
    <row r="209" spans="72:72" x14ac:dyDescent="0.25">
      <c r="BT209" s="18"/>
    </row>
    <row r="210" spans="72:72" x14ac:dyDescent="0.25">
      <c r="BT210" s="18"/>
    </row>
    <row r="211" spans="72:72" x14ac:dyDescent="0.25">
      <c r="BT211" s="18"/>
    </row>
    <row r="212" spans="72:72" x14ac:dyDescent="0.25">
      <c r="BT212" s="18"/>
    </row>
    <row r="213" spans="72:72" x14ac:dyDescent="0.25">
      <c r="BT213" s="18"/>
    </row>
    <row r="214" spans="72:72" x14ac:dyDescent="0.25">
      <c r="BT214" s="18"/>
    </row>
    <row r="215" spans="72:72" x14ac:dyDescent="0.25">
      <c r="BT215" s="18"/>
    </row>
    <row r="216" spans="72:72" x14ac:dyDescent="0.25">
      <c r="BT216" s="18"/>
    </row>
    <row r="217" spans="72:72" x14ac:dyDescent="0.25">
      <c r="BT217" s="18"/>
    </row>
    <row r="218" spans="72:72" x14ac:dyDescent="0.25">
      <c r="BT218" s="18"/>
    </row>
    <row r="219" spans="72:72" x14ac:dyDescent="0.25">
      <c r="BT219" s="18"/>
    </row>
    <row r="220" spans="72:72" x14ac:dyDescent="0.25">
      <c r="BT220" s="18"/>
    </row>
    <row r="221" spans="72:72" x14ac:dyDescent="0.25">
      <c r="BT221" s="18"/>
    </row>
    <row r="222" spans="72:72" x14ac:dyDescent="0.25">
      <c r="BT222" s="18"/>
    </row>
    <row r="223" spans="72:72" x14ac:dyDescent="0.25">
      <c r="BT223" s="18"/>
    </row>
    <row r="224" spans="72:72" x14ac:dyDescent="0.25">
      <c r="BT224" s="18"/>
    </row>
    <row r="225" spans="72:72" x14ac:dyDescent="0.25">
      <c r="BT225" s="18"/>
    </row>
    <row r="226" spans="72:72" x14ac:dyDescent="0.25">
      <c r="BT226" s="18"/>
    </row>
    <row r="227" spans="72:72" x14ac:dyDescent="0.25">
      <c r="BT227" s="18"/>
    </row>
    <row r="228" spans="72:72" x14ac:dyDescent="0.25">
      <c r="BT228" s="18"/>
    </row>
    <row r="229" spans="72:72" x14ac:dyDescent="0.25">
      <c r="BT229" s="18"/>
    </row>
    <row r="230" spans="72:72" x14ac:dyDescent="0.25">
      <c r="BT230" s="18"/>
    </row>
    <row r="231" spans="72:72" x14ac:dyDescent="0.25">
      <c r="BT231" s="18"/>
    </row>
    <row r="232" spans="72:72" x14ac:dyDescent="0.25">
      <c r="BT232" s="18"/>
    </row>
    <row r="233" spans="72:72" x14ac:dyDescent="0.25">
      <c r="BT233" s="18"/>
    </row>
    <row r="234" spans="72:72" x14ac:dyDescent="0.25">
      <c r="BT234" s="18"/>
    </row>
    <row r="235" spans="72:72" x14ac:dyDescent="0.25">
      <c r="BT235" s="18"/>
    </row>
    <row r="236" spans="72:72" x14ac:dyDescent="0.25">
      <c r="BT236" s="18"/>
    </row>
    <row r="237" spans="72:72" x14ac:dyDescent="0.25">
      <c r="BT237" s="18"/>
    </row>
    <row r="238" spans="72:72" x14ac:dyDescent="0.25">
      <c r="BT238" s="18"/>
    </row>
    <row r="239" spans="72:72" x14ac:dyDescent="0.25">
      <c r="BT239" s="18"/>
    </row>
    <row r="240" spans="72:72" x14ac:dyDescent="0.25">
      <c r="BT240" s="18"/>
    </row>
    <row r="241" spans="72:72" x14ac:dyDescent="0.25">
      <c r="BT241" s="18"/>
    </row>
    <row r="242" spans="72:72" x14ac:dyDescent="0.25">
      <c r="BT242" s="18"/>
    </row>
    <row r="243" spans="72:72" x14ac:dyDescent="0.25">
      <c r="BT243" s="18"/>
    </row>
    <row r="244" spans="72:72" x14ac:dyDescent="0.25">
      <c r="BT244" s="18"/>
    </row>
    <row r="245" spans="72:72" x14ac:dyDescent="0.25">
      <c r="BT245" s="18"/>
    </row>
    <row r="246" spans="72:72" x14ac:dyDescent="0.25">
      <c r="BT246" s="18"/>
    </row>
    <row r="247" spans="72:72" x14ac:dyDescent="0.25">
      <c r="BT247" s="18"/>
    </row>
    <row r="248" spans="72:72" x14ac:dyDescent="0.25">
      <c r="BT248" s="18"/>
    </row>
    <row r="249" spans="72:72" x14ac:dyDescent="0.25">
      <c r="BT249" s="18"/>
    </row>
    <row r="250" spans="72:72" x14ac:dyDescent="0.25">
      <c r="BT250" s="18"/>
    </row>
    <row r="251" spans="72:72" x14ac:dyDescent="0.25">
      <c r="BT251" s="18"/>
    </row>
    <row r="252" spans="72:72" x14ac:dyDescent="0.25">
      <c r="BT252" s="18"/>
    </row>
    <row r="253" spans="72:72" x14ac:dyDescent="0.25">
      <c r="BT253" s="18"/>
    </row>
    <row r="254" spans="72:72" x14ac:dyDescent="0.25">
      <c r="BT254" s="18"/>
    </row>
    <row r="255" spans="72:72" x14ac:dyDescent="0.25">
      <c r="BT255" s="18"/>
    </row>
    <row r="256" spans="72:72" x14ac:dyDescent="0.25">
      <c r="BT256" s="18"/>
    </row>
    <row r="257" spans="72:72" x14ac:dyDescent="0.25">
      <c r="BT257" s="18"/>
    </row>
    <row r="258" spans="72:72" x14ac:dyDescent="0.25">
      <c r="BT258" s="18"/>
    </row>
    <row r="259" spans="72:72" x14ac:dyDescent="0.25">
      <c r="BT259" s="18"/>
    </row>
    <row r="260" spans="72:72" x14ac:dyDescent="0.25">
      <c r="BT260" s="18"/>
    </row>
    <row r="261" spans="72:72" x14ac:dyDescent="0.25">
      <c r="BT261" s="18"/>
    </row>
    <row r="262" spans="72:72" x14ac:dyDescent="0.25">
      <c r="BT262" s="18"/>
    </row>
    <row r="263" spans="72:72" x14ac:dyDescent="0.25">
      <c r="BT263" s="18"/>
    </row>
    <row r="264" spans="72:72" x14ac:dyDescent="0.25">
      <c r="BT264" s="18"/>
    </row>
    <row r="265" spans="72:72" x14ac:dyDescent="0.25">
      <c r="BT265" s="18"/>
    </row>
    <row r="266" spans="72:72" x14ac:dyDescent="0.25">
      <c r="BT266" s="18"/>
    </row>
    <row r="267" spans="72:72" x14ac:dyDescent="0.25">
      <c r="BT267" s="18"/>
    </row>
    <row r="268" spans="72:72" x14ac:dyDescent="0.25">
      <c r="BT268" s="18"/>
    </row>
    <row r="269" spans="72:72" x14ac:dyDescent="0.25">
      <c r="BT269" s="18"/>
    </row>
    <row r="270" spans="72:72" x14ac:dyDescent="0.25">
      <c r="BT270" s="18"/>
    </row>
    <row r="271" spans="72:72" x14ac:dyDescent="0.25">
      <c r="BT271" s="18"/>
    </row>
    <row r="272" spans="72:72" x14ac:dyDescent="0.25">
      <c r="BT272" s="18"/>
    </row>
    <row r="273" spans="72:72" x14ac:dyDescent="0.25">
      <c r="BT273" s="18"/>
    </row>
    <row r="274" spans="72:72" x14ac:dyDescent="0.25">
      <c r="BT274" s="18"/>
    </row>
    <row r="275" spans="72:72" x14ac:dyDescent="0.25">
      <c r="BT275" s="18"/>
    </row>
    <row r="276" spans="72:72" x14ac:dyDescent="0.25">
      <c r="BT276" s="18"/>
    </row>
    <row r="277" spans="72:72" x14ac:dyDescent="0.25">
      <c r="BT277" s="18"/>
    </row>
    <row r="278" spans="72:72" x14ac:dyDescent="0.25">
      <c r="BT278" s="18"/>
    </row>
    <row r="279" spans="72:72" x14ac:dyDescent="0.25">
      <c r="BT279" s="18"/>
    </row>
    <row r="280" spans="72:72" x14ac:dyDescent="0.25">
      <c r="BT280" s="18"/>
    </row>
    <row r="281" spans="72:72" x14ac:dyDescent="0.25">
      <c r="BT281" s="18"/>
    </row>
    <row r="282" spans="72:72" x14ac:dyDescent="0.25">
      <c r="BT282" s="18"/>
    </row>
    <row r="283" spans="72:72" x14ac:dyDescent="0.25">
      <c r="BT283" s="18"/>
    </row>
    <row r="284" spans="72:72" x14ac:dyDescent="0.25">
      <c r="BT284" s="18"/>
    </row>
    <row r="285" spans="72:72" x14ac:dyDescent="0.25">
      <c r="BT285" s="18"/>
    </row>
    <row r="286" spans="72:72" x14ac:dyDescent="0.25">
      <c r="BT286" s="18"/>
    </row>
    <row r="287" spans="72:72" x14ac:dyDescent="0.25">
      <c r="BT287" s="18"/>
    </row>
    <row r="288" spans="72:72" x14ac:dyDescent="0.25">
      <c r="BT288" s="18"/>
    </row>
    <row r="289" spans="72:72" x14ac:dyDescent="0.25">
      <c r="BT289" s="18"/>
    </row>
    <row r="290" spans="72:72" x14ac:dyDescent="0.25">
      <c r="BT290" s="18"/>
    </row>
    <row r="291" spans="72:72" x14ac:dyDescent="0.25">
      <c r="BT291" s="18"/>
    </row>
    <row r="292" spans="72:72" x14ac:dyDescent="0.25">
      <c r="BT292" s="18"/>
    </row>
    <row r="293" spans="72:72" x14ac:dyDescent="0.25">
      <c r="BT293" s="18"/>
    </row>
    <row r="294" spans="72:72" x14ac:dyDescent="0.25">
      <c r="BT294" s="18"/>
    </row>
    <row r="295" spans="72:72" x14ac:dyDescent="0.25">
      <c r="BT295" s="18"/>
    </row>
    <row r="296" spans="72:72" x14ac:dyDescent="0.25">
      <c r="BT296" s="18"/>
    </row>
    <row r="297" spans="72:72" x14ac:dyDescent="0.25">
      <c r="BT297" s="18"/>
    </row>
    <row r="298" spans="72:72" x14ac:dyDescent="0.25">
      <c r="BT298" s="18"/>
    </row>
    <row r="299" spans="72:72" x14ac:dyDescent="0.25">
      <c r="BT299" s="18"/>
    </row>
    <row r="300" spans="72:72" x14ac:dyDescent="0.25">
      <c r="BT300" s="18"/>
    </row>
  </sheetData>
  <mergeCells count="11">
    <mergeCell ref="BF2:BG2"/>
    <mergeCell ref="AF2:AG2"/>
    <mergeCell ref="AJ2:AK2"/>
    <mergeCell ref="AN2:AO2"/>
    <mergeCell ref="AR2:AS2"/>
    <mergeCell ref="AV2:BC2"/>
    <mergeCell ref="B2:C2"/>
    <mergeCell ref="F2:G2"/>
    <mergeCell ref="J2:Q2"/>
    <mergeCell ref="T2:AA2"/>
    <mergeCell ref="AC2:AD2"/>
  </mergeCells>
  <pageMargins left="0.7" right="0.7" top="0.75" bottom="0.75" header="0.3" footer="0.3"/>
  <pageSetup orientation="portrait" r:id="rId1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M11"/>
  <sheetViews>
    <sheetView workbookViewId="0">
      <selection activeCell="E19" sqref="E19"/>
    </sheetView>
  </sheetViews>
  <sheetFormatPr defaultRowHeight="15" x14ac:dyDescent="0.25"/>
  <cols>
    <col min="5" max="5" width="18.28515625" customWidth="1"/>
    <col min="8" max="8" width="11.7109375" customWidth="1"/>
    <col min="9" max="9" width="12.28515625" customWidth="1"/>
    <col min="10" max="10" width="13.5703125" customWidth="1"/>
    <col min="11" max="11" width="11.42578125" customWidth="1"/>
    <col min="12" max="12" width="11.5703125" customWidth="1"/>
    <col min="13" max="13" width="12.85546875" customWidth="1"/>
  </cols>
  <sheetData>
    <row r="2" spans="2:13" x14ac:dyDescent="0.25">
      <c r="B2" s="11" t="s">
        <v>9</v>
      </c>
      <c r="C2" s="18"/>
      <c r="E2" s="10" t="s">
        <v>0</v>
      </c>
      <c r="F2" s="4" t="s">
        <v>1</v>
      </c>
      <c r="G2" s="4" t="s">
        <v>2</v>
      </c>
      <c r="H2" s="4" t="s">
        <v>3</v>
      </c>
      <c r="I2" s="4" t="s">
        <v>4</v>
      </c>
      <c r="J2" s="4" t="s">
        <v>5</v>
      </c>
      <c r="K2" s="4" t="s">
        <v>6</v>
      </c>
      <c r="L2" s="4" t="s">
        <v>7</v>
      </c>
      <c r="M2" s="5" t="s">
        <v>69</v>
      </c>
    </row>
    <row r="3" spans="2:13" x14ac:dyDescent="0.25">
      <c r="B3" s="11" t="s">
        <v>12</v>
      </c>
      <c r="C3" s="18"/>
      <c r="E3" t="s">
        <v>20</v>
      </c>
      <c r="F3">
        <f>COUNTIF(Sales_Person,E3)</f>
        <v>38</v>
      </c>
      <c r="G3">
        <f>COUNTIF(Sales_Person,E3)</f>
        <v>38</v>
      </c>
      <c r="H3">
        <f>SUMIF(Sales_Person,'Pivot Table 2'!#REF!,Units)</f>
        <v>0</v>
      </c>
      <c r="I3">
        <f>SUMIF(Sales_Person,'Pivot Table 2'!#REF!,cost_per_unit)</f>
        <v>0</v>
      </c>
      <c r="J3">
        <f>SUMIF(Sales_Person,'Pivot Table 2'!#REF!,Cost)</f>
        <v>0</v>
      </c>
      <c r="K3">
        <f ca="1">SUMIF(Sales_Person,'Pivot Table 2'!#REF!,'Data Set'!U4:U241)</f>
        <v>0</v>
      </c>
      <c r="L3">
        <f ca="1">SUMIF(Sales_Person,'Pivot Table 2'!#REF!,'Data Set'!AF4:AF67)</f>
        <v>0</v>
      </c>
    </row>
    <row r="4" spans="2:13" x14ac:dyDescent="0.25">
      <c r="B4" s="11" t="s">
        <v>15</v>
      </c>
      <c r="C4" s="18"/>
      <c r="D4" s="14"/>
      <c r="E4" s="14"/>
      <c r="F4" s="14"/>
      <c r="G4" s="14"/>
      <c r="H4" s="14"/>
    </row>
    <row r="5" spans="2:13" x14ac:dyDescent="0.25">
      <c r="B5" s="11" t="s">
        <v>17</v>
      </c>
      <c r="C5" s="18"/>
      <c r="D5" s="14"/>
      <c r="E5" s="14"/>
      <c r="F5" s="14"/>
      <c r="G5" s="14"/>
      <c r="H5" s="14"/>
    </row>
    <row r="6" spans="2:13" x14ac:dyDescent="0.25">
      <c r="B6" s="11" t="s">
        <v>20</v>
      </c>
      <c r="C6" s="18"/>
      <c r="D6" s="14"/>
      <c r="E6" s="14"/>
      <c r="F6" s="14"/>
      <c r="G6" s="14"/>
      <c r="H6" s="14"/>
    </row>
    <row r="7" spans="2:13" x14ac:dyDescent="0.25">
      <c r="B7" s="11" t="s">
        <v>27</v>
      </c>
      <c r="C7" s="18"/>
      <c r="D7" s="14"/>
      <c r="E7" s="14"/>
      <c r="F7" s="14"/>
      <c r="G7" s="14"/>
      <c r="H7" s="14"/>
    </row>
    <row r="8" spans="2:13" x14ac:dyDescent="0.25">
      <c r="B8" s="11" t="s">
        <v>29</v>
      </c>
      <c r="C8" s="18"/>
      <c r="D8" s="14"/>
      <c r="E8" s="14"/>
      <c r="F8" s="14"/>
      <c r="G8" s="14"/>
      <c r="H8" s="14"/>
    </row>
    <row r="9" spans="2:13" x14ac:dyDescent="0.25">
      <c r="B9" s="11" t="s">
        <v>30</v>
      </c>
      <c r="C9" s="18"/>
      <c r="D9" s="14"/>
      <c r="E9" s="14"/>
      <c r="F9" s="14"/>
      <c r="G9" s="14"/>
      <c r="H9" s="14"/>
    </row>
    <row r="10" spans="2:13" x14ac:dyDescent="0.25">
      <c r="B10" s="11" t="s">
        <v>31</v>
      </c>
      <c r="C10" s="18"/>
      <c r="D10" s="14"/>
      <c r="E10" s="14"/>
      <c r="F10" s="14"/>
      <c r="G10" s="14"/>
      <c r="H10" s="14"/>
    </row>
    <row r="11" spans="2:13" x14ac:dyDescent="0.25">
      <c r="B11" s="11" t="s">
        <v>39</v>
      </c>
      <c r="C11" s="18"/>
      <c r="D11" s="14"/>
      <c r="E11" s="14"/>
      <c r="F11" s="14"/>
      <c r="G11" s="14"/>
      <c r="H11" s="14"/>
    </row>
  </sheetData>
  <dataValidations count="1">
    <dataValidation type="list" allowBlank="1" showInputMessage="1" showErrorMessage="1" sqref="E3" xr:uid="{00000000-0002-0000-0200-000000000000}">
      <formula1>$B$2:$B$11</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topLeftCell="F1" zoomScale="78" zoomScaleNormal="78" workbookViewId="0">
      <selection activeCell="Y47" sqref="Y47"/>
    </sheetView>
  </sheetViews>
  <sheetFormatPr defaultRowHeight="15" x14ac:dyDescent="0.25"/>
  <cols>
    <col min="1" max="16384" width="9.140625" style="22"/>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11</vt:i4>
      </vt:variant>
    </vt:vector>
  </HeadingPairs>
  <TitlesOfParts>
    <vt:vector size="15" baseType="lpstr">
      <vt:lpstr>Data Set</vt:lpstr>
      <vt:lpstr>Pivot Tables</vt:lpstr>
      <vt:lpstr>Pivot Table 2</vt:lpstr>
      <vt:lpstr>Dashboard</vt:lpstr>
      <vt:lpstr>Amount</vt:lpstr>
      <vt:lpstr>Cost</vt:lpstr>
      <vt:lpstr>cost_per_unit</vt:lpstr>
      <vt:lpstr>'Data Set'!Criteria</vt:lpstr>
      <vt:lpstr>'Data Set'!Extract</vt:lpstr>
      <vt:lpstr>Geography</vt:lpstr>
      <vt:lpstr>Percentage</vt:lpstr>
      <vt:lpstr>Product</vt:lpstr>
      <vt:lpstr>Profit</vt:lpstr>
      <vt:lpstr>Sales_Person</vt:lpstr>
      <vt:lpstr>Units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AE TECH</cp:lastModifiedBy>
  <dcterms:created xsi:type="dcterms:W3CDTF">2026-06-16T08:50:48Z</dcterms:created>
  <dcterms:modified xsi:type="dcterms:W3CDTF">2026-08-31T09:27:59Z</dcterms:modified>
</cp:coreProperties>
</file>